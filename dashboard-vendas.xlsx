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yks\Downloads\"/>
    </mc:Choice>
  </mc:AlternateContent>
  <xr:revisionPtr revIDLastSave="0" documentId="13_ncr:1_{EA30A516-7CD7-4841-AA72-9519C72254AF}" xr6:coauthVersionLast="47" xr6:coauthVersionMax="47" xr10:uidLastSave="{00000000-0000-0000-0000-000000000000}"/>
  <workbookProtection workbookAlgorithmName="SHA-512" workbookHashValue="ounkEIMV/XNAKzgkAU02Ep9L1mZFBGhRDBjPX8NWX/Bz0HdehJj41eGEvEpCN6luXW8T2G+ostyv8aqRjmDhHQ==" workbookSaltValue="8n6NjBbb2B0P6gT5yrdvbA==" workbookSpinCount="100000" lockStructure="1"/>
  <bookViews>
    <workbookView xWindow="-120" yWindow="-120" windowWidth="20730" windowHeight="11760" firstSheet="1" activeTab="3" xr2:uid="{28DD5B76-0634-4F87-BE60-8BFA7EF2E23B}"/>
  </bookViews>
  <sheets>
    <sheet name="A̳ssets" sheetId="1" state="hidden" r:id="rId1"/>
    <sheet name="B̳ases" sheetId="2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3" l="1"/>
  <c r="F25" i="3"/>
</calcChain>
</file>

<file path=xl/sharedStrings.xml><?xml version="1.0" encoding="utf-8"?>
<sst xmlns="http://schemas.openxmlformats.org/spreadsheetml/2006/main" count="2018" uniqueCount="320">
  <si>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</si>
  <si>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</si>
  <si>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</si>
  <si>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</si>
  <si>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</si>
  <si>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</si>
  <si>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</si>
  <si>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</si>
  <si>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</si>
  <si>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</si>
  <si>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</si>
  <si>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</si>
  <si>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</si>
  <si>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</si>
  <si>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</si>
  <si>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</si>
  <si>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</si>
  <si>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</si>
  <si>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</si>
  <si>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</si>
  <si>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</si>
  <si>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</si>
  <si>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</si>
  <si>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</si>
  <si>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</si>
  <si>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</si>
  <si>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</si>
  <si>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</si>
  <si>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</si>
  <si>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</si>
  <si>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</si>
  <si>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</si>
  <si>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</si>
  <si>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</si>
  <si>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</si>
  <si>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</si>
  <si>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</si>
  <si>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</si>
  <si>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</si>
  <si>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</si>
  <si>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</si>
  <si>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</si>
  <si>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</si>
  <si>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</si>
  <si>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</si>
  <si>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</si>
  <si>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</si>
  <si>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</si>
  <si>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</si>
  <si>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</si>
  <si>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</si>
  <si>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</si>
  <si>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</si>
  <si>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</si>
  <si>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</si>
  <si>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</si>
  <si>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</si>
  <si>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</si>
  <si>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</si>
  <si>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</si>
  <si>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</si>
  <si>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</si>
  <si>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</si>
  <si>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</si>
  <si>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</si>
  <si>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</si>
  <si>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</si>
  <si>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</si>
  <si>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</si>
  <si>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</si>
  <si>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</si>
  <si>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</si>
  <si>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</si>
  <si>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</si>
  <si>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</si>
  <si>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</si>
  <si>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</si>
  <si>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</si>
  <si>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</si>
  <si>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</si>
  <si>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</si>
  <si>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</si>
  <si>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</si>
  <si>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</si>
  <si>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</si>
  <si>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</si>
  <si>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</si>
  <si>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</si>
  <si>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</si>
  <si>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</si>
  <si>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</si>
  <si>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</si>
  <si>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</si>
  <si>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</si>
  <si>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</si>
  <si>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</si>
  <si>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</si>
  <si>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</si>
  <si>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</si>
  <si>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</si>
  <si>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</si>
  <si>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</si>
  <si>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</si>
  <si>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</si>
  <si>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</si>
  <si>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</si>
  <si>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</si>
  <si>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</si>
  <si>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</si>
  <si>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</si>
  <si>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</si>
  <si>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</si>
  <si>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</si>
  <si>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</si>
  <si>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</si>
  <si>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</si>
  <si>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</si>
  <si>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</si>
  <si>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</si>
  <si>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</si>
  <si>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</si>
  <si>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</si>
  <si>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</si>
  <si>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</si>
  <si>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</si>
  <si>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</si>
  <si>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</si>
  <si>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</si>
  <si>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</si>
  <si>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</si>
  <si>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</si>
  <si>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</si>
  <si>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</si>
  <si>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</si>
  <si>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</si>
  <si>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</si>
  <si>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</si>
  <si>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</si>
  <si>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</si>
  <si>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</si>
  <si>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</si>
  <si>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</si>
  <si>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</si>
  <si>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</si>
  <si>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</si>
  <si>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</si>
  <si>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</si>
  <si>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</si>
  <si>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</si>
  <si>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</si>
  <si>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</si>
  <si>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</si>
  <si>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</si>
  <si>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</si>
  <si>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</si>
  <si>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</si>
  <si>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</si>
  <si>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</si>
  <si>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</si>
  <si>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</si>
  <si>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</si>
  <si>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</si>
  <si>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</si>
  <si>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</si>
  <si>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</si>
  <si>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</si>
  <si>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</si>
  <si>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</si>
  <si>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</si>
  <si>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</si>
  <si>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</si>
  <si>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</si>
  <si>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</si>
  <si>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</si>
  <si>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</si>
  <si>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</si>
  <si>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</si>
  <si>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</si>
  <si>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</si>
  <si>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</si>
  <si>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</si>
  <si>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</si>
  <si>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</si>
  <si>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</si>
  <si>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</si>
  <si>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</si>
  <si>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</si>
  <si>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</si>
  <si>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</si>
  <si>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</si>
  <si>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</si>
  <si>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</si>
  <si>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</si>
  <si>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</si>
  <si>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</si>
  <si>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</si>
  <si>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</si>
  <si>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</si>
  <si>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</si>
  <si>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</si>
  <si>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</si>
  <si>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</si>
  <si>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</si>
  <si>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</si>
  <si>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</si>
  <si>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</si>
  <si>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</si>
  <si>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</si>
  <si>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</si>
  <si>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</si>
  <si>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</si>
  <si>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</si>
  <si>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</si>
  <si>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</si>
  <si>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</si>
  <si>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</si>
  <si>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</si>
  <si>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</si>
  <si>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</si>
  <si>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</si>
  <si>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</si>
  <si>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</si>
  <si>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</si>
  <si>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</si>
  <si>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</si>
  <si>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</si>
  <si>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</si>
  <si>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</si>
  <si>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</si>
  <si>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</si>
  <si>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</si>
  <si>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</si>
  <si>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</si>
  <si>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</si>
  <si>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</si>
  <si>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</si>
  <si>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</si>
  <si>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</si>
  <si>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</si>
  <si>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</si>
  <si>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</si>
  <si>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</si>
  <si>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</si>
  <si>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</si>
  <si>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</si>
  <si>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</si>
  <si>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</si>
  <si>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</si>
  <si>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</si>
  <si>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</si>
  <si>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</si>
  <si>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</si>
  <si>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</si>
  <si>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</si>
  <si>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</si>
  <si>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</si>
  <si>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</si>
  <si>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</si>
  <si>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</si>
  <si>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</si>
  <si>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</si>
  <si>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</si>
  <si>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</si>
  <si>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</si>
  <si>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</si>
  <si>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</si>
  <si>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</si>
  <si>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</si>
  <si>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</si>
  <si>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</si>
  <si>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</si>
  <si>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</si>
  <si>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</si>
  <si>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</si>
  <si>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</si>
  <si>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</si>
  <si>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</si>
  <si>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</si>
  <si>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</si>
  <si>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</si>
  <si>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</si>
  <si>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</si>
  <si>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</si>
  <si>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</si>
  <si>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</si>
  <si>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</si>
  <si>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</si>
  <si>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</si>
  <si>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</si>
  <si>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</si>
  <si>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</si>
  <si>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</si>
  <si>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</si>
  <si>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</si>
  <si>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</si>
  <si>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</si>
  <si>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</si>
  <si>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</si>
  <si>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</si>
  <si>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</si>
  <si>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</si>
  <si>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</si>
  <si>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</si>
  <si>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</si>
  <si>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</si>
  <si>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</si>
  <si>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</si>
  <si>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</si>
  <si>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</si>
  <si>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</si>
  <si>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</si>
  <si>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</si>
  <si>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</si>
  <si>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Soma de Total Value</t>
  </si>
  <si>
    <t>Rótulos de Linha</t>
  </si>
  <si>
    <t>Total Geral</t>
  </si>
  <si>
    <t>XBOX GAME PASS SUBSCRIPTIONS SALES</t>
  </si>
  <si>
    <t>TBL 1</t>
  </si>
  <si>
    <t>Soma de EA Play Season Pass</t>
  </si>
  <si>
    <t>Soma de Minecraft Season Pass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</si>
</sst>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22C55E"/>
      <name val="Segoe UI"/>
      <family val="2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0" fontId="1" fillId="0" borderId="0" xfId="1" applyBorder="1"/>
    <xf numFmtId="44" fontId="0" fillId="0" borderId="0" xfId="2" applyFont="1"/>
    <xf numFmtId="0" fontId="5" fillId="7" borderId="0" xfId="0" applyFont="1" applyFill="1"/>
    <xf numFmtId="0" fontId="4" fillId="0" borderId="2" xfId="1" applyFont="1" applyBorder="1"/>
    <xf numFmtId="0" fontId="1" fillId="0" borderId="2" xfId="1" applyBorder="1"/>
    <xf numFmtId="0" fontId="0" fillId="0" borderId="2" xfId="0" applyBorder="1"/>
    <xf numFmtId="0" fontId="4" fillId="0" borderId="2" xfId="1" applyFont="1" applyBorder="1" applyAlignment="1">
      <alignment horizontal="left" indent="5"/>
    </xf>
    <xf numFmtId="0" fontId="0" fillId="0" borderId="0" xfId="0" applyNumberFormat="1"/>
    <xf numFmtId="0" fontId="0" fillId="7" borderId="0" xfId="0" applyFill="1" applyBorder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rgb="FFF7F8FC"/>
      </font>
      <fill>
        <patternFill patternType="none">
          <bgColor auto="1"/>
        </patternFill>
      </fill>
      <border>
        <bottom style="thin">
          <color theme="6"/>
        </bottom>
        <vertical/>
        <horizontal/>
      </border>
    </dxf>
    <dxf>
      <font>
        <color theme="1"/>
      </font>
      <fill>
        <patternFill patternType="solid"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3 2" pivot="0" table="0" count="10" xr9:uid="{B312EBDA-4372-4C3C-A59A-969D17D2D813}">
      <tableStyleElement type="wholeTable" dxfId="15"/>
      <tableStyleElement type="headerRow" dxfId="14"/>
    </tableStyle>
  </tableStyles>
  <colors>
    <mruColors>
      <color rgb="FFE8E6E9"/>
      <color rgb="FF22C55E"/>
      <color rgb="FFC1F0C8"/>
      <color rgb="FFF7F8FC"/>
      <color rgb="FFEDEDED"/>
      <color rgb="FF2AE6B1"/>
      <color rgb="FF5BF6A8"/>
      <color rgb="FF000000"/>
      <color rgb="FFE0E0E0"/>
      <color rgb="FF9BC848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6" tint="0.599963377788628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6" tint="0.79992065187536243"/>
              <bgColor rgb="FFC1F0C8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6" tint="0.59999389629810485"/>
              <bgColor rgb="FFC1F0C8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[dashboard-vendas.xlsx]C̳álculos!TBL_ANNUAL_TOTAL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381839272388417E-2"/>
          <c:y val="7.6135282653922484E-2"/>
          <c:w val="0.82347349174863127"/>
          <c:h val="0.7545185066040179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C̳álculos!$D$12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C̳álculos!$C$13:$C$15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C̳álculos!$D$13:$D$15</c:f>
              <c:numCache>
                <c:formatCode>_("R$"* #,##0.00_);_("R$"* \(#,##0.00\);_("R$"* "-"??_);_(@_)</c:formatCode>
                <c:ptCount val="2"/>
                <c:pt idx="0">
                  <c:v>2824</c:v>
                </c:pt>
                <c:pt idx="1">
                  <c:v>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F-4E77-AE75-3D374C1D8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98659695"/>
        <c:axId val="898657295"/>
      </c:barChart>
      <c:catAx>
        <c:axId val="898659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8657295"/>
        <c:crosses val="autoZero"/>
        <c:auto val="1"/>
        <c:lblAlgn val="ctr"/>
        <c:lblOffset val="100"/>
        <c:noMultiLvlLbl val="0"/>
      </c:catAx>
      <c:valAx>
        <c:axId val="898657295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9865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4.png"/><Relationship Id="rId7" Type="http://schemas.openxmlformats.org/officeDocument/2006/relationships/image" Target="../media/image7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6.png"/><Relationship Id="rId5" Type="http://schemas.openxmlformats.org/officeDocument/2006/relationships/image" Target="../media/image1.png"/><Relationship Id="rId10" Type="http://schemas.openxmlformats.org/officeDocument/2006/relationships/image" Target="../media/image10.png"/><Relationship Id="rId4" Type="http://schemas.openxmlformats.org/officeDocument/2006/relationships/image" Target="../media/image5.svg"/><Relationship Id="rId9" Type="http://schemas.openxmlformats.org/officeDocument/2006/relationships/image" Target="../media/image9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7" Type="http://schemas.openxmlformats.org/officeDocument/2006/relationships/image" Target="../media/image1.png"/><Relationship Id="rId2" Type="http://schemas.openxmlformats.org/officeDocument/2006/relationships/chart" Target="../charts/chart1.xml"/><Relationship Id="rId1" Type="http://schemas.openxmlformats.org/officeDocument/2006/relationships/image" Target="../media/image3.png"/><Relationship Id="rId6" Type="http://schemas.openxmlformats.org/officeDocument/2006/relationships/image" Target="../media/image9.sv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</xdr:col>
      <xdr:colOff>485775</xdr:colOff>
      <xdr:row>27</xdr:row>
      <xdr:rowOff>133349</xdr:rowOff>
    </xdr:from>
    <xdr:to>
      <xdr:col>4</xdr:col>
      <xdr:colOff>206451</xdr:colOff>
      <xdr:row>31</xdr:row>
      <xdr:rowOff>123825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95375" y="542924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>
    <xdr:from>
      <xdr:col>1</xdr:col>
      <xdr:colOff>247650</xdr:colOff>
      <xdr:row>21</xdr:row>
      <xdr:rowOff>57150</xdr:rowOff>
    </xdr:from>
    <xdr:to>
      <xdr:col>3</xdr:col>
      <xdr:colOff>247650</xdr:colOff>
      <xdr:row>27</xdr:row>
      <xdr:rowOff>133350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4863786-37A3-4693-8C01-6538D02D4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4210050"/>
          <a:ext cx="121920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42864</xdr:colOff>
      <xdr:row>1</xdr:row>
      <xdr:rowOff>30955</xdr:rowOff>
    </xdr:from>
    <xdr:to>
      <xdr:col>2</xdr:col>
      <xdr:colOff>400051</xdr:colOff>
      <xdr:row>2</xdr:row>
      <xdr:rowOff>171449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E8D70E-7A0D-4E56-8E9C-EB0CBDD402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88" t="17472" r="73185" b="23127"/>
        <a:stretch>
          <a:fillRect/>
        </a:stretch>
      </xdr:blipFill>
      <xdr:spPr>
        <a:xfrm>
          <a:off x="1890714" y="221455"/>
          <a:ext cx="595312" cy="60721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7</xdr:row>
      <xdr:rowOff>247650</xdr:rowOff>
    </xdr:from>
    <xdr:to>
      <xdr:col>1</xdr:col>
      <xdr:colOff>7144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5BD92D61-7798-4B69-AF88-8B4239471C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71625"/>
              <a:ext cx="1835944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114301</xdr:colOff>
      <xdr:row>12</xdr:row>
      <xdr:rowOff>57149</xdr:rowOff>
    </xdr:from>
    <xdr:to>
      <xdr:col>17</xdr:col>
      <xdr:colOff>400050</xdr:colOff>
      <xdr:row>26</xdr:row>
      <xdr:rowOff>66675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5DEEFB9B-41FD-1AFE-AF2D-34D3EE23C7DC}"/>
            </a:ext>
          </a:extLst>
        </xdr:cNvPr>
        <xdr:cNvGrpSpPr/>
      </xdr:nvGrpSpPr>
      <xdr:grpSpPr>
        <a:xfrm>
          <a:off x="2200276" y="2562224"/>
          <a:ext cx="9258299" cy="2676526"/>
          <a:chOff x="2066926" y="1562099"/>
          <a:chExt cx="4410074" cy="2676526"/>
        </a:xfrm>
      </xdr:grpSpPr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D91B1D1F-4D7F-E4D0-7FE4-D9E6B0415B34}"/>
              </a:ext>
            </a:extLst>
          </xdr:cNvPr>
          <xdr:cNvSpPr/>
        </xdr:nvSpPr>
        <xdr:spPr>
          <a:xfrm>
            <a:off x="2066926" y="1562099"/>
            <a:ext cx="3962400" cy="2428875"/>
          </a:xfrm>
          <a:prstGeom prst="roundRect">
            <a:avLst>
              <a:gd name="adj" fmla="val 0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9B7B8019-5178-4B5D-A2CB-969E41B68C84}"/>
              </a:ext>
            </a:extLst>
          </xdr:cNvPr>
          <xdr:cNvGraphicFramePr>
            <a:graphicFrameLocks/>
          </xdr:cNvGraphicFramePr>
        </xdr:nvGraphicFramePr>
        <xdr:xfrm>
          <a:off x="2242457" y="1776639"/>
          <a:ext cx="4234543" cy="246198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absolute">
    <xdr:from>
      <xdr:col>2</xdr:col>
      <xdr:colOff>76200</xdr:colOff>
      <xdr:row>7</xdr:row>
      <xdr:rowOff>19050</xdr:rowOff>
    </xdr:from>
    <xdr:to>
      <xdr:col>8</xdr:col>
      <xdr:colOff>409575</xdr:colOff>
      <xdr:row>12</xdr:row>
      <xdr:rowOff>104775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F2B769F4-62E3-E1EE-B5C4-493EC868F068}"/>
            </a:ext>
          </a:extLst>
        </xdr:cNvPr>
        <xdr:cNvGrpSpPr/>
      </xdr:nvGrpSpPr>
      <xdr:grpSpPr>
        <a:xfrm>
          <a:off x="2162175" y="1343025"/>
          <a:ext cx="3990975" cy="1266825"/>
          <a:chOff x="2181225" y="1362075"/>
          <a:chExt cx="3990975" cy="1266825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CE528342-9A3F-1DA5-C6C6-06E12605A0A2}"/>
              </a:ext>
            </a:extLst>
          </xdr:cNvPr>
          <xdr:cNvSpPr/>
        </xdr:nvSpPr>
        <xdr:spPr>
          <a:xfrm>
            <a:off x="2181225" y="1371600"/>
            <a:ext cx="3990975" cy="1019175"/>
          </a:xfrm>
          <a:prstGeom prst="roundRect">
            <a:avLst>
              <a:gd name="adj" fmla="val 0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050"/>
          </a:p>
        </xdr:txBody>
      </xdr:sp>
      <xdr:sp macro="" textlink="C̳álculos!I20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79183300-50F1-44F6-856B-757F6832C227}"/>
              </a:ext>
            </a:extLst>
          </xdr:cNvPr>
          <xdr:cNvSpPr/>
        </xdr:nvSpPr>
        <xdr:spPr>
          <a:xfrm>
            <a:off x="3429000" y="1633538"/>
            <a:ext cx="2533649" cy="771525"/>
          </a:xfrm>
          <a:prstGeom prst="roundRect">
            <a:avLst>
              <a:gd name="adj" fmla="val 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D3E010E-3CC9-41AC-A959-1FA5400660DA}" type="TxLink">
              <a:rPr lang="en-US" sz="3600" b="0" i="0" u="none" strike="noStrike">
                <a:solidFill>
                  <a:srgbClr val="22C55E"/>
                </a:solidFill>
                <a:latin typeface="Aptos Narrow"/>
              </a:rPr>
              <a:pPr algn="ctr"/>
              <a:t> R$ 1.350,00 </a:t>
            </a:fld>
            <a:endParaRPr lang="pt-BR" sz="3600">
              <a:solidFill>
                <a:srgbClr val="22C55E"/>
              </a:solidFill>
            </a:endParaRPr>
          </a:p>
        </xdr:txBody>
      </xdr:sp>
      <xdr:pic>
        <xdr:nvPicPr>
          <xdr:cNvPr id="24" name="Imagem 23">
            <a:extLst>
              <a:ext uri="{FF2B5EF4-FFF2-40B4-BE49-F238E27FC236}">
                <a16:creationId xmlns:a16="http://schemas.microsoft.com/office/drawing/2014/main" id="{D798AEB0-605F-4FA1-AFBC-9233E95FA7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19325" y="1409700"/>
            <a:ext cx="1219200" cy="1219200"/>
          </a:xfrm>
          <a:prstGeom prst="rect">
            <a:avLst/>
          </a:prstGeom>
        </xdr:spPr>
      </xdr:pic>
      <xdr:sp macro="" textlink="">
        <xdr:nvSpPr>
          <xdr:cNvPr id="25" name="Retângulo: Cantos Superiores Arredondados 24">
            <a:extLst>
              <a:ext uri="{FF2B5EF4-FFF2-40B4-BE49-F238E27FC236}">
                <a16:creationId xmlns:a16="http://schemas.microsoft.com/office/drawing/2014/main" id="{09AB998A-8864-71E2-844D-24D605F380AC}"/>
              </a:ext>
            </a:extLst>
          </xdr:cNvPr>
          <xdr:cNvSpPr/>
        </xdr:nvSpPr>
        <xdr:spPr>
          <a:xfrm>
            <a:off x="2181225" y="1362075"/>
            <a:ext cx="3990975" cy="27622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050" b="1"/>
              <a:t>TOTAL</a:t>
            </a:r>
            <a:r>
              <a:rPr lang="pt-BR" sz="1050" b="1" baseline="0"/>
              <a:t> SUBSCRIPTIONS EA PLAY SEASON PASS</a:t>
            </a:r>
          </a:p>
          <a:p>
            <a:pPr algn="ctr"/>
            <a:endParaRPr lang="pt-BR" sz="1050" b="1"/>
          </a:p>
        </xdr:txBody>
      </xdr:sp>
    </xdr:grpSp>
    <xdr:clientData/>
  </xdr:twoCellAnchor>
  <xdr:twoCellAnchor>
    <xdr:from>
      <xdr:col>9</xdr:col>
      <xdr:colOff>114300</xdr:colOff>
      <xdr:row>7</xdr:row>
      <xdr:rowOff>19050</xdr:rowOff>
    </xdr:from>
    <xdr:to>
      <xdr:col>16</xdr:col>
      <xdr:colOff>19050</xdr:colOff>
      <xdr:row>11</xdr:row>
      <xdr:rowOff>57150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A8AA7A67-79F5-3510-2507-DFC8733A7D54}"/>
            </a:ext>
          </a:extLst>
        </xdr:cNvPr>
        <xdr:cNvGrpSpPr/>
      </xdr:nvGrpSpPr>
      <xdr:grpSpPr>
        <a:xfrm>
          <a:off x="6467475" y="1343025"/>
          <a:ext cx="4000500" cy="1028700"/>
          <a:chOff x="6867525" y="1362075"/>
          <a:chExt cx="4000500" cy="1028700"/>
        </a:xfrm>
      </xdr:grpSpPr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19F77088-C1FA-4CD7-92F7-5114D76882A1}"/>
              </a:ext>
            </a:extLst>
          </xdr:cNvPr>
          <xdr:cNvGrpSpPr/>
        </xdr:nvGrpSpPr>
        <xdr:grpSpPr>
          <a:xfrm>
            <a:off x="6867525" y="1362075"/>
            <a:ext cx="4000500" cy="1028700"/>
            <a:chOff x="2190750" y="1362075"/>
            <a:chExt cx="4000500" cy="1028700"/>
          </a:xfrm>
        </xdr:grpSpPr>
        <xdr:sp macro="" textlink="">
          <xdr:nvSpPr>
            <xdr:cNvPr id="28" name="Retângulo: Cantos Arredondados 27">
              <a:extLst>
                <a:ext uri="{FF2B5EF4-FFF2-40B4-BE49-F238E27FC236}">
                  <a16:creationId xmlns:a16="http://schemas.microsoft.com/office/drawing/2014/main" id="{F7D81BBD-2CF6-BE8C-42D9-6BEF34A4586D}"/>
                </a:ext>
              </a:extLst>
            </xdr:cNvPr>
            <xdr:cNvSpPr/>
          </xdr:nvSpPr>
          <xdr:spPr>
            <a:xfrm>
              <a:off x="2200275" y="1371600"/>
              <a:ext cx="3990975" cy="1019175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050"/>
            </a:p>
          </xdr:txBody>
        </xdr:sp>
        <xdr:sp macro="" textlink="C̳álculos!F25">
          <xdr:nvSpPr>
            <xdr:cNvPr id="29" name="Retângulo: Cantos Arredondados 28">
              <a:extLst>
                <a:ext uri="{FF2B5EF4-FFF2-40B4-BE49-F238E27FC236}">
                  <a16:creationId xmlns:a16="http://schemas.microsoft.com/office/drawing/2014/main" id="{974D909E-9BC8-4CCA-2DE1-772A056A0404}"/>
                </a:ext>
              </a:extLst>
            </xdr:cNvPr>
            <xdr:cNvSpPr/>
          </xdr:nvSpPr>
          <xdr:spPr>
            <a:xfrm>
              <a:off x="3581400" y="1609725"/>
              <a:ext cx="2533649" cy="757238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C5827653-854C-42FD-85E5-99FDD73D5E23}" type="TxLink">
                <a:rPr lang="en-US" sz="3600" b="0" i="0" u="none" strike="noStrike">
                  <a:solidFill>
                    <a:srgbClr val="22C55E"/>
                  </a:solidFill>
                  <a:latin typeface="Aptos Narrow"/>
                </a:rPr>
                <a:pPr algn="ctr"/>
                <a:t> R$ 1.800,00 </a:t>
              </a:fld>
              <a:endParaRPr lang="pt-BR" sz="8800">
                <a:solidFill>
                  <a:srgbClr val="22C55E"/>
                </a:solidFill>
              </a:endParaRPr>
            </a:p>
          </xdr:txBody>
        </xdr:sp>
        <xdr:sp macro="" textlink="">
          <xdr:nvSpPr>
            <xdr:cNvPr id="31" name="Retângulo: Cantos Superiores Arredondados 30">
              <a:extLst>
                <a:ext uri="{FF2B5EF4-FFF2-40B4-BE49-F238E27FC236}">
                  <a16:creationId xmlns:a16="http://schemas.microsoft.com/office/drawing/2014/main" id="{7A96DA49-15BF-93BF-EBB7-AF9B81157257}"/>
                </a:ext>
              </a:extLst>
            </xdr:cNvPr>
            <xdr:cNvSpPr/>
          </xdr:nvSpPr>
          <xdr:spPr>
            <a:xfrm>
              <a:off x="2190750" y="1362075"/>
              <a:ext cx="4000500" cy="276225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pt-BR" sz="1050" b="1"/>
                <a:t>TOTAL</a:t>
              </a:r>
              <a:r>
                <a:rPr lang="pt-BR" sz="1050" b="1" baseline="0"/>
                <a:t> SUBSCRIPTIONS MINECRAFT PLAY SEASON PASS</a:t>
              </a:r>
            </a:p>
            <a:p>
              <a:pPr algn="ctr"/>
              <a:endParaRPr lang="pt-BR" sz="1050" b="1"/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92BA7601-4FA2-4D3D-A5C2-8F0F7717F9F9}"/>
              </a:ext>
            </a:extLst>
          </xdr:cNvPr>
          <xdr:cNvGrpSpPr/>
        </xdr:nvGrpSpPr>
        <xdr:grpSpPr>
          <a:xfrm>
            <a:off x="7048500" y="1685925"/>
            <a:ext cx="1076325" cy="609606"/>
            <a:chOff x="3495675" y="5400670"/>
            <a:chExt cx="1549476" cy="752483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37DC4A1-C8B3-580B-BCCA-F98D9E994A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7" y="5400670"/>
              <a:ext cx="555496" cy="609599"/>
            </a:xfrm>
            <a:prstGeom prst="rect">
              <a:avLst/>
            </a:prstGeom>
          </xdr:spPr>
        </xdr:pic>
        <xdr:pic>
          <xdr:nvPicPr>
            <xdr:cNvPr id="34" name="Gráfico 33">
              <a:extLst>
                <a:ext uri="{FF2B5EF4-FFF2-40B4-BE49-F238E27FC236}">
                  <a16:creationId xmlns:a16="http://schemas.microsoft.com/office/drawing/2014/main" id="{672FFAE0-9C24-7655-8AFE-D74CBAA56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5" y="5895940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114301</xdr:colOff>
      <xdr:row>12</xdr:row>
      <xdr:rowOff>28574</xdr:rowOff>
    </xdr:from>
    <xdr:to>
      <xdr:col>16</xdr:col>
      <xdr:colOff>76200</xdr:colOff>
      <xdr:row>13</xdr:row>
      <xdr:rowOff>114299</xdr:rowOff>
    </xdr:to>
    <xdr:sp macro="" textlink="">
      <xdr:nvSpPr>
        <xdr:cNvPr id="36" name="Retângulo: Cantos Superiores Arredondados 35">
          <a:extLst>
            <a:ext uri="{FF2B5EF4-FFF2-40B4-BE49-F238E27FC236}">
              <a16:creationId xmlns:a16="http://schemas.microsoft.com/office/drawing/2014/main" id="{6AE989BD-20B3-4F31-BE7F-84567E9BA43F}"/>
            </a:ext>
          </a:extLst>
        </xdr:cNvPr>
        <xdr:cNvSpPr/>
      </xdr:nvSpPr>
      <xdr:spPr>
        <a:xfrm>
          <a:off x="2200276" y="2533649"/>
          <a:ext cx="8324849" cy="276225"/>
        </a:xfrm>
        <a:prstGeom prst="round2Same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50" b="1"/>
            <a:t>TOTAL</a:t>
          </a:r>
          <a:r>
            <a:rPr lang="pt-BR" sz="1050" b="1" baseline="0"/>
            <a:t> SUBSCRIPTIONS XBOX GAME PASS</a:t>
          </a:r>
        </a:p>
        <a:p>
          <a:pPr algn="ctr"/>
          <a:endParaRPr lang="pt-BR" sz="1050" b="1"/>
        </a:p>
      </xdr:txBody>
    </xdr:sp>
    <xdr:clientData/>
  </xdr:twoCellAnchor>
  <xdr:twoCellAnchor editAs="absolute">
    <xdr:from>
      <xdr:col>0</xdr:col>
      <xdr:colOff>466725</xdr:colOff>
      <xdr:row>1</xdr:row>
      <xdr:rowOff>85725</xdr:rowOff>
    </xdr:from>
    <xdr:to>
      <xdr:col>0</xdr:col>
      <xdr:colOff>1162050</xdr:colOff>
      <xdr:row>4</xdr:row>
      <xdr:rowOff>0</xdr:rowOff>
    </xdr:to>
    <xdr:sp macro="" textlink="">
      <xdr:nvSpPr>
        <xdr:cNvPr id="37" name="Elipse 36">
          <a:extLst>
            <a:ext uri="{FF2B5EF4-FFF2-40B4-BE49-F238E27FC236}">
              <a16:creationId xmlns:a16="http://schemas.microsoft.com/office/drawing/2014/main" id="{7B6BB154-A9AB-4B68-8C20-CCA97FDD25F9}"/>
            </a:ext>
          </a:extLst>
        </xdr:cNvPr>
        <xdr:cNvSpPr/>
      </xdr:nvSpPr>
      <xdr:spPr>
        <a:xfrm>
          <a:off x="466725" y="276225"/>
          <a:ext cx="695325" cy="695325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0</xdr:col>
      <xdr:colOff>0</xdr:colOff>
      <xdr:row>5</xdr:row>
      <xdr:rowOff>104776</xdr:rowOff>
    </xdr:from>
    <xdr:to>
      <xdr:col>0</xdr:col>
      <xdr:colOff>1562100</xdr:colOff>
      <xdr:row>7</xdr:row>
      <xdr:rowOff>209551</xdr:rowOff>
    </xdr:to>
    <xdr:sp macro="" textlink="">
      <xdr:nvSpPr>
        <xdr:cNvPr id="38" name="Retângulo: Cantos Arredondados 37">
          <a:extLst>
            <a:ext uri="{FF2B5EF4-FFF2-40B4-BE49-F238E27FC236}">
              <a16:creationId xmlns:a16="http://schemas.microsoft.com/office/drawing/2014/main" id="{05E986CC-80C4-2A98-2C41-30381A55A2C2}"/>
            </a:ext>
          </a:extLst>
        </xdr:cNvPr>
        <xdr:cNvSpPr/>
      </xdr:nvSpPr>
      <xdr:spPr>
        <a:xfrm>
          <a:off x="0" y="1171576"/>
          <a:ext cx="1562100" cy="361950"/>
        </a:xfrm>
        <a:prstGeom prst="roundRect">
          <a:avLst>
            <a:gd name="adj" fmla="val 23644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/>
            <a:t>&gt;</a:t>
          </a:r>
          <a:r>
            <a:rPr lang="pt-BR" sz="1100" b="1" baseline="0"/>
            <a:t> WELCOME MANAGER</a:t>
          </a:r>
          <a:r>
            <a:rPr lang="pt-BR" sz="1100" b="1"/>
            <a:t> </a:t>
          </a:r>
        </a:p>
      </xdr:txBody>
    </xdr:sp>
    <xdr:clientData/>
  </xdr:twoCellAnchor>
  <xdr:twoCellAnchor>
    <xdr:from>
      <xdr:col>1</xdr:col>
      <xdr:colOff>76199</xdr:colOff>
      <xdr:row>2</xdr:row>
      <xdr:rowOff>190500</xdr:rowOff>
    </xdr:from>
    <xdr:to>
      <xdr:col>10</xdr:col>
      <xdr:colOff>533399</xdr:colOff>
      <xdr:row>6</xdr:row>
      <xdr:rowOff>9525</xdr:rowOff>
    </xdr:to>
    <xdr:sp macro="" textlink="">
      <xdr:nvSpPr>
        <xdr:cNvPr id="41" name="Retângulo: Cantos Arredondados 40">
          <a:extLst>
            <a:ext uri="{FF2B5EF4-FFF2-40B4-BE49-F238E27FC236}">
              <a16:creationId xmlns:a16="http://schemas.microsoft.com/office/drawing/2014/main" id="{789BB63A-7193-4154-8EC3-889597C3454C}"/>
            </a:ext>
          </a:extLst>
        </xdr:cNvPr>
        <xdr:cNvSpPr/>
      </xdr:nvSpPr>
      <xdr:spPr>
        <a:xfrm>
          <a:off x="1924049" y="847725"/>
          <a:ext cx="5572125" cy="361950"/>
        </a:xfrm>
        <a:prstGeom prst="roundRect">
          <a:avLst>
            <a:gd name="adj" fmla="val 23644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50" b="0" baseline="0">
              <a:solidFill>
                <a:sysClr val="windowText" lastClr="000000"/>
              </a:solidFill>
            </a:rPr>
            <a:t>Calculation períod</a:t>
          </a:r>
          <a:r>
            <a:rPr lang="pt-BR" sz="1050" b="1" baseline="0">
              <a:solidFill>
                <a:sysClr val="windowText" lastClr="000000"/>
              </a:solidFill>
            </a:rPr>
            <a:t>:  </a:t>
          </a:r>
          <a:r>
            <a:rPr lang="pt-BR" sz="1050" b="0" baseline="0">
              <a:solidFill>
                <a:sysClr val="windowText" lastClr="000000"/>
              </a:solidFill>
            </a:rPr>
            <a:t>01/01/2024 - 31/12/2024 |  Update date 24/12/2024</a:t>
          </a:r>
          <a:r>
            <a:rPr lang="pt-BR" sz="1050" b="1" baseline="0">
              <a:solidFill>
                <a:sysClr val="windowText" lastClr="000000"/>
              </a:solidFill>
            </a:rPr>
            <a:t> </a:t>
          </a:r>
          <a:endParaRPr lang="pt-BR" sz="1050" b="1">
            <a:solidFill>
              <a:sysClr val="windowText" lastClr="000000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yk Salazar" refreshedDate="46179.61425150463" createdVersion="8" refreshedVersion="8" minRefreshableVersion="3" recordCount="295" xr:uid="{70B58F72-63CF-416C-9FD3-1B4D1E267C4B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2502596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x v="0"/>
    <s v="Yes"/>
    <n v="20"/>
    <n v="5"/>
    <n v="60"/>
  </r>
  <r>
    <n v="3232"/>
    <s v="Maria Oliveira"/>
    <x v="1"/>
    <d v="2024-01-15T00:00:00"/>
    <x v="1"/>
    <n v="5"/>
    <x v="1"/>
    <s v="No"/>
    <x v="1"/>
    <s v="No"/>
    <n v="0"/>
    <n v="0"/>
    <n v="5"/>
  </r>
  <r>
    <n v="3233"/>
    <s v="Lucas Fernandes"/>
    <x v="2"/>
    <d v="2024-02-10T00:00:00"/>
    <x v="0"/>
    <n v="10"/>
    <x v="2"/>
    <s v="No"/>
    <x v="1"/>
    <s v="Yes"/>
    <n v="20"/>
    <n v="10"/>
    <n v="20"/>
  </r>
  <r>
    <n v="3234"/>
    <s v="Ana Souza"/>
    <x v="0"/>
    <d v="2024-02-20T00:00:00"/>
    <x v="1"/>
    <n v="15"/>
    <x v="0"/>
    <s v="Yes"/>
    <x v="0"/>
    <s v="Yes"/>
    <n v="20"/>
    <n v="3"/>
    <n v="62"/>
  </r>
  <r>
    <n v="3235"/>
    <s v="Pedro Gonçalves"/>
    <x v="1"/>
    <d v="2024-03-05T00:00:00"/>
    <x v="0"/>
    <n v="5"/>
    <x v="0"/>
    <s v="No"/>
    <x v="1"/>
    <s v="No"/>
    <n v="0"/>
    <n v="1"/>
    <n v="4"/>
  </r>
  <r>
    <n v="3236"/>
    <s v="Felipe Costa"/>
    <x v="2"/>
    <d v="2024-03-02T00:00:00"/>
    <x v="1"/>
    <n v="10"/>
    <x v="0"/>
    <s v="No"/>
    <x v="1"/>
    <s v="Yes"/>
    <n v="20"/>
    <n v="2"/>
    <n v="28"/>
  </r>
  <r>
    <n v="3237"/>
    <s v="Camila Ribeiro"/>
    <x v="0"/>
    <d v="2024-03-03T00:00:00"/>
    <x v="0"/>
    <n v="15"/>
    <x v="2"/>
    <s v="Yes"/>
    <x v="0"/>
    <s v="Yes"/>
    <n v="20"/>
    <n v="10"/>
    <n v="55"/>
  </r>
  <r>
    <n v="3238"/>
    <s v="André Mendes"/>
    <x v="1"/>
    <d v="2024-03-04T00:00:00"/>
    <x v="0"/>
    <n v="5"/>
    <x v="1"/>
    <s v="No"/>
    <x v="1"/>
    <s v="No"/>
    <n v="0"/>
    <n v="0"/>
    <n v="5"/>
  </r>
  <r>
    <n v="3239"/>
    <s v="Sofia Almeida"/>
    <x v="0"/>
    <d v="2024-03-05T00:00:00"/>
    <x v="1"/>
    <n v="15"/>
    <x v="0"/>
    <s v="Yes"/>
    <x v="0"/>
    <s v="Yes"/>
    <n v="20"/>
    <n v="5"/>
    <n v="60"/>
  </r>
  <r>
    <n v="3240"/>
    <s v="Bruno Martins"/>
    <x v="2"/>
    <d v="2024-03-06T00:00:00"/>
    <x v="0"/>
    <n v="10"/>
    <x v="2"/>
    <s v="No"/>
    <x v="1"/>
    <s v="Yes"/>
    <n v="20"/>
    <n v="15"/>
    <n v="15"/>
  </r>
  <r>
    <n v="3241"/>
    <s v="Rita Castro"/>
    <x v="1"/>
    <d v="2024-03-07T00:00:00"/>
    <x v="1"/>
    <n v="5"/>
    <x v="0"/>
    <s v="No"/>
    <x v="1"/>
    <s v="No"/>
    <n v="0"/>
    <n v="1"/>
    <n v="4"/>
  </r>
  <r>
    <n v="3242"/>
    <s v="Marco Túlio"/>
    <x v="0"/>
    <d v="2024-03-08T00:00:00"/>
    <x v="0"/>
    <n v="15"/>
    <x v="1"/>
    <s v="Yes"/>
    <x v="0"/>
    <s v="Yes"/>
    <n v="20"/>
    <n v="20"/>
    <n v="45"/>
  </r>
  <r>
    <n v="3243"/>
    <s v="Lívia Silveira"/>
    <x v="2"/>
    <d v="2024-03-09T00:00:00"/>
    <x v="1"/>
    <n v="10"/>
    <x v="0"/>
    <s v="No"/>
    <x v="1"/>
    <s v="Yes"/>
    <n v="20"/>
    <n v="10"/>
    <n v="20"/>
  </r>
  <r>
    <n v="3244"/>
    <s v="Diogo Sousa"/>
    <x v="1"/>
    <d v="2024-03-10T00:00:00"/>
    <x v="0"/>
    <n v="5"/>
    <x v="2"/>
    <s v="No"/>
    <x v="1"/>
    <s v="No"/>
    <n v="0"/>
    <n v="0"/>
    <n v="5"/>
  </r>
  <r>
    <n v="3245"/>
    <s v="Fernanda Lima"/>
    <x v="0"/>
    <d v="2024-03-11T00:00:00"/>
    <x v="1"/>
    <n v="15"/>
    <x v="0"/>
    <s v="Yes"/>
    <x v="0"/>
    <s v="Yes"/>
    <n v="20"/>
    <n v="8"/>
    <n v="57"/>
  </r>
  <r>
    <n v="3246"/>
    <s v="Caio Pereira"/>
    <x v="2"/>
    <d v="2024-03-12T00:00:00"/>
    <x v="0"/>
    <n v="10"/>
    <x v="1"/>
    <s v="No"/>
    <x v="1"/>
    <s v="Yes"/>
    <n v="20"/>
    <n v="12"/>
    <n v="18"/>
  </r>
  <r>
    <n v="3247"/>
    <s v="Beatriz Gomes"/>
    <x v="1"/>
    <d v="2024-03-13T00:00:00"/>
    <x v="1"/>
    <n v="5"/>
    <x v="0"/>
    <s v="No"/>
    <x v="1"/>
    <s v="No"/>
    <n v="0"/>
    <n v="2"/>
    <n v="3"/>
  </r>
  <r>
    <n v="3248"/>
    <s v="Cesar Oliveira"/>
    <x v="0"/>
    <d v="2024-03-14T00:00:00"/>
    <x v="0"/>
    <n v="15"/>
    <x v="2"/>
    <s v="Yes"/>
    <x v="0"/>
    <s v="Yes"/>
    <n v="20"/>
    <n v="7"/>
    <n v="58"/>
  </r>
  <r>
    <n v="3249"/>
    <s v="Débora Machado"/>
    <x v="2"/>
    <d v="2024-03-15T00:00:00"/>
    <x v="1"/>
    <n v="10"/>
    <x v="0"/>
    <s v="No"/>
    <x v="1"/>
    <s v="Yes"/>
    <n v="20"/>
    <n v="5"/>
    <n v="25"/>
  </r>
  <r>
    <n v="3250"/>
    <s v="Eduardo Vargas"/>
    <x v="1"/>
    <d v="2024-03-16T00:00:00"/>
    <x v="0"/>
    <n v="5"/>
    <x v="1"/>
    <s v="No"/>
    <x v="1"/>
    <s v="No"/>
    <n v="0"/>
    <n v="0"/>
    <n v="5"/>
  </r>
  <r>
    <n v="3251"/>
    <s v="Gabriela Santos"/>
    <x v="0"/>
    <d v="2024-03-17T00:00:00"/>
    <x v="1"/>
    <n v="15"/>
    <x v="0"/>
    <s v="Yes"/>
    <x v="0"/>
    <s v="Yes"/>
    <n v="20"/>
    <n v="3"/>
    <n v="62"/>
  </r>
  <r>
    <n v="3252"/>
    <s v="Henrique Dias"/>
    <x v="2"/>
    <d v="2024-03-18T00:00:00"/>
    <x v="0"/>
    <n v="10"/>
    <x v="2"/>
    <s v="No"/>
    <x v="1"/>
    <s v="Yes"/>
    <n v="20"/>
    <n v="15"/>
    <n v="15"/>
  </r>
  <r>
    <n v="3253"/>
    <s v="Isabela Moreira"/>
    <x v="1"/>
    <d v="2024-03-19T00:00:00"/>
    <x v="1"/>
    <n v="5"/>
    <x v="0"/>
    <s v="No"/>
    <x v="1"/>
    <s v="No"/>
    <n v="0"/>
    <n v="1"/>
    <n v="4"/>
  </r>
  <r>
    <n v="3254"/>
    <s v="Joaquim Barbosa"/>
    <x v="0"/>
    <d v="2024-03-20T00:00:00"/>
    <x v="0"/>
    <n v="15"/>
    <x v="1"/>
    <s v="Yes"/>
    <x v="0"/>
    <s v="Yes"/>
    <n v="20"/>
    <n v="20"/>
    <n v="45"/>
  </r>
  <r>
    <n v="3255"/>
    <s v="Lara Rocha"/>
    <x v="2"/>
    <d v="2024-03-21T00:00:00"/>
    <x v="1"/>
    <n v="10"/>
    <x v="0"/>
    <s v="No"/>
    <x v="1"/>
    <s v="Yes"/>
    <n v="20"/>
    <n v="10"/>
    <n v="20"/>
  </r>
  <r>
    <n v="3256"/>
    <s v="Matheus Silva"/>
    <x v="1"/>
    <d v="2024-03-22T00:00:00"/>
    <x v="0"/>
    <n v="5"/>
    <x v="2"/>
    <s v="No"/>
    <x v="1"/>
    <s v="No"/>
    <n v="0"/>
    <n v="0"/>
    <n v="5"/>
  </r>
  <r>
    <n v="3257"/>
    <s v="Nicole Costa"/>
    <x v="0"/>
    <d v="2024-03-23T00:00:00"/>
    <x v="1"/>
    <n v="15"/>
    <x v="0"/>
    <s v="Yes"/>
    <x v="0"/>
    <s v="Yes"/>
    <n v="20"/>
    <n v="5"/>
    <n v="60"/>
  </r>
  <r>
    <n v="3258"/>
    <s v="Otávio Mendonça"/>
    <x v="2"/>
    <d v="2024-03-24T00:00:00"/>
    <x v="0"/>
    <n v="10"/>
    <x v="1"/>
    <s v="No"/>
    <x v="1"/>
    <s v="Yes"/>
    <n v="20"/>
    <n v="15"/>
    <n v="15"/>
  </r>
  <r>
    <n v="3259"/>
    <s v="Paula Ferreira"/>
    <x v="1"/>
    <d v="2024-03-25T00:00:00"/>
    <x v="1"/>
    <n v="5"/>
    <x v="0"/>
    <s v="No"/>
    <x v="1"/>
    <s v="No"/>
    <n v="0"/>
    <n v="1"/>
    <n v="4"/>
  </r>
  <r>
    <n v="3260"/>
    <s v="Raquel Alves"/>
    <x v="0"/>
    <d v="2024-03-26T00:00:00"/>
    <x v="0"/>
    <n v="15"/>
    <x v="2"/>
    <s v="Yes"/>
    <x v="0"/>
    <s v="Yes"/>
    <n v="20"/>
    <n v="7"/>
    <n v="58"/>
  </r>
  <r>
    <n v="3261"/>
    <s v="Samuel Pires"/>
    <x v="2"/>
    <d v="2024-03-27T00:00:00"/>
    <x v="1"/>
    <n v="10"/>
    <x v="0"/>
    <s v="No"/>
    <x v="1"/>
    <s v="Yes"/>
    <n v="20"/>
    <n v="10"/>
    <n v="20"/>
  </r>
  <r>
    <n v="3262"/>
    <s v="Tânia Barros"/>
    <x v="1"/>
    <d v="2024-03-28T00:00:00"/>
    <x v="0"/>
    <n v="5"/>
    <x v="1"/>
    <s v="No"/>
    <x v="1"/>
    <s v="No"/>
    <n v="0"/>
    <n v="0"/>
    <n v="5"/>
  </r>
  <r>
    <n v="3263"/>
    <s v="Vinicius Lima"/>
    <x v="0"/>
    <d v="2024-03-29T00:00:00"/>
    <x v="1"/>
    <n v="15"/>
    <x v="0"/>
    <s v="Yes"/>
    <x v="0"/>
    <s v="Yes"/>
    <n v="20"/>
    <n v="3"/>
    <n v="62"/>
  </r>
  <r>
    <n v="3264"/>
    <s v="Yasmin Teixeira"/>
    <x v="2"/>
    <d v="2024-03-30T00:00:00"/>
    <x v="0"/>
    <n v="10"/>
    <x v="2"/>
    <s v="No"/>
    <x v="1"/>
    <s v="Yes"/>
    <n v="20"/>
    <n v="15"/>
    <n v="15"/>
  </r>
  <r>
    <n v="3265"/>
    <s v="Zé Carlos"/>
    <x v="1"/>
    <d v="2024-03-31T00:00:00"/>
    <x v="1"/>
    <n v="5"/>
    <x v="0"/>
    <s v="No"/>
    <x v="1"/>
    <s v="No"/>
    <n v="0"/>
    <n v="1"/>
    <n v="4"/>
  </r>
  <r>
    <n v="3266"/>
    <s v="Amanda Nogueira"/>
    <x v="1"/>
    <d v="2024-04-01T00:00:00"/>
    <x v="0"/>
    <n v="5"/>
    <x v="0"/>
    <s v="No"/>
    <x v="1"/>
    <s v="No"/>
    <n v="0"/>
    <n v="0"/>
    <n v="5"/>
  </r>
  <r>
    <n v="3267"/>
    <s v="Bruno Cavalheiro"/>
    <x v="0"/>
    <d v="2024-04-02T00:00:00"/>
    <x v="1"/>
    <n v="15"/>
    <x v="2"/>
    <s v="Yes"/>
    <x v="0"/>
    <s v="Yes"/>
    <n v="20"/>
    <n v="7"/>
    <n v="58"/>
  </r>
  <r>
    <n v="3268"/>
    <s v="Carla Dias"/>
    <x v="2"/>
    <d v="2024-04-03T00:00:00"/>
    <x v="0"/>
    <n v="10"/>
    <x v="1"/>
    <s v="No"/>
    <x v="1"/>
    <s v="Yes"/>
    <n v="20"/>
    <n v="10"/>
    <n v="20"/>
  </r>
  <r>
    <n v="3269"/>
    <s v="Diego Fontes"/>
    <x v="1"/>
    <d v="2024-04-04T00:00:00"/>
    <x v="1"/>
    <n v="5"/>
    <x v="2"/>
    <s v="No"/>
    <x v="1"/>
    <s v="No"/>
    <n v="0"/>
    <n v="1"/>
    <n v="4"/>
  </r>
  <r>
    <n v="3270"/>
    <s v="Eunice Lima"/>
    <x v="0"/>
    <d v="2024-04-05T00:00:00"/>
    <x v="0"/>
    <n v="15"/>
    <x v="0"/>
    <s v="Yes"/>
    <x v="0"/>
    <s v="Yes"/>
    <n v="20"/>
    <n v="15"/>
    <n v="50"/>
  </r>
  <r>
    <n v="3271"/>
    <s v="Fábio Martins"/>
    <x v="2"/>
    <d v="2024-04-06T00:00:00"/>
    <x v="1"/>
    <n v="10"/>
    <x v="0"/>
    <s v="No"/>
    <x v="1"/>
    <s v="Yes"/>
    <n v="20"/>
    <n v="5"/>
    <n v="25"/>
  </r>
  <r>
    <n v="3272"/>
    <s v="Gisele Araújo"/>
    <x v="1"/>
    <d v="2024-04-07T00:00:00"/>
    <x v="0"/>
    <n v="5"/>
    <x v="1"/>
    <s v="No"/>
    <x v="1"/>
    <s v="No"/>
    <n v="0"/>
    <n v="0"/>
    <n v="5"/>
  </r>
  <r>
    <n v="3273"/>
    <s v="Hélio Castro"/>
    <x v="0"/>
    <d v="2024-04-08T00:00:00"/>
    <x v="1"/>
    <n v="15"/>
    <x v="2"/>
    <s v="Yes"/>
    <x v="0"/>
    <s v="Yes"/>
    <n v="20"/>
    <n v="20"/>
    <n v="45"/>
  </r>
  <r>
    <n v="3274"/>
    <s v="Ingrid Menezes"/>
    <x v="2"/>
    <d v="2024-04-09T00:00:00"/>
    <x v="0"/>
    <n v="10"/>
    <x v="2"/>
    <s v="No"/>
    <x v="1"/>
    <s v="Yes"/>
    <n v="20"/>
    <n v="12"/>
    <n v="18"/>
  </r>
  <r>
    <n v="3275"/>
    <s v="Jorge Baptista"/>
    <x v="1"/>
    <d v="2024-04-10T00:00:00"/>
    <x v="1"/>
    <n v="5"/>
    <x v="0"/>
    <s v="No"/>
    <x v="1"/>
    <s v="No"/>
    <n v="0"/>
    <n v="2"/>
    <n v="3"/>
  </r>
  <r>
    <n v="3276"/>
    <s v="Kléber Oliveira"/>
    <x v="0"/>
    <d v="2024-04-11T00:00:00"/>
    <x v="0"/>
    <n v="15"/>
    <x v="1"/>
    <s v="Yes"/>
    <x v="0"/>
    <s v="Yes"/>
    <n v="20"/>
    <n v="5"/>
    <n v="60"/>
  </r>
  <r>
    <n v="3277"/>
    <s v="Luciana Freitas"/>
    <x v="2"/>
    <d v="2024-04-12T00:00:00"/>
    <x v="1"/>
    <n v="10"/>
    <x v="0"/>
    <s v="No"/>
    <x v="1"/>
    <s v="Yes"/>
    <n v="20"/>
    <n v="10"/>
    <n v="20"/>
  </r>
  <r>
    <n v="3278"/>
    <s v="Márcia Eller"/>
    <x v="1"/>
    <d v="2024-04-13T00:00:00"/>
    <x v="0"/>
    <n v="5"/>
    <x v="2"/>
    <s v="No"/>
    <x v="1"/>
    <s v="No"/>
    <n v="0"/>
    <n v="0"/>
    <n v="5"/>
  </r>
  <r>
    <n v="3279"/>
    <s v="Nilo Peçanha"/>
    <x v="0"/>
    <d v="2024-04-14T00:00:00"/>
    <x v="1"/>
    <n v="15"/>
    <x v="0"/>
    <s v="Yes"/>
    <x v="0"/>
    <s v="Yes"/>
    <n v="20"/>
    <n v="3"/>
    <n v="62"/>
  </r>
  <r>
    <n v="3280"/>
    <s v="Oscar Neves"/>
    <x v="2"/>
    <d v="2024-04-15T00:00:00"/>
    <x v="0"/>
    <n v="10"/>
    <x v="1"/>
    <s v="No"/>
    <x v="1"/>
    <s v="Yes"/>
    <n v="20"/>
    <n v="15"/>
    <n v="15"/>
  </r>
  <r>
    <n v="3281"/>
    <s v="Patrícia Soares"/>
    <x v="1"/>
    <d v="2024-04-16T00:00:00"/>
    <x v="1"/>
    <n v="5"/>
    <x v="0"/>
    <s v="No"/>
    <x v="1"/>
    <s v="No"/>
    <n v="0"/>
    <n v="1"/>
    <n v="4"/>
  </r>
  <r>
    <n v="3282"/>
    <s v="Quirino Gonçalves"/>
    <x v="0"/>
    <d v="2024-04-17T00:00:00"/>
    <x v="0"/>
    <n v="15"/>
    <x v="2"/>
    <s v="Yes"/>
    <x v="0"/>
    <s v="Yes"/>
    <n v="20"/>
    <n v="7"/>
    <n v="58"/>
  </r>
  <r>
    <n v="3283"/>
    <s v="Raul Machado"/>
    <x v="2"/>
    <d v="2024-04-18T00:00:00"/>
    <x v="1"/>
    <n v="10"/>
    <x v="0"/>
    <s v="No"/>
    <x v="1"/>
    <s v="Yes"/>
    <n v="20"/>
    <n v="10"/>
    <n v="20"/>
  </r>
  <r>
    <n v="3284"/>
    <s v="Sônia Lobo"/>
    <x v="1"/>
    <d v="2024-04-19T00:00:00"/>
    <x v="0"/>
    <n v="5"/>
    <x v="1"/>
    <s v="No"/>
    <x v="1"/>
    <s v="No"/>
    <n v="0"/>
    <n v="0"/>
    <n v="5"/>
  </r>
  <r>
    <n v="3285"/>
    <s v="Tiago Ramos"/>
    <x v="0"/>
    <d v="2024-04-20T00:00:00"/>
    <x v="1"/>
    <n v="15"/>
    <x v="0"/>
    <s v="Yes"/>
    <x v="0"/>
    <s v="Yes"/>
    <n v="20"/>
    <n v="20"/>
    <n v="45"/>
  </r>
  <r>
    <n v="3286"/>
    <s v="Ugo Pires"/>
    <x v="2"/>
    <d v="2024-04-21T00:00:00"/>
    <x v="0"/>
    <n v="10"/>
    <x v="2"/>
    <s v="No"/>
    <x v="1"/>
    <s v="Yes"/>
    <n v="20"/>
    <n v="15"/>
    <n v="15"/>
  </r>
  <r>
    <n v="3287"/>
    <s v="Valéria Nobre"/>
    <x v="1"/>
    <d v="2024-04-22T00:00:00"/>
    <x v="1"/>
    <n v="5"/>
    <x v="0"/>
    <s v="No"/>
    <x v="1"/>
    <s v="No"/>
    <n v="0"/>
    <n v="1"/>
    <n v="4"/>
  </r>
  <r>
    <n v="3288"/>
    <s v="William Siqueira"/>
    <x v="0"/>
    <d v="2024-04-23T00:00:00"/>
    <x v="0"/>
    <n v="15"/>
    <x v="1"/>
    <s v="Yes"/>
    <x v="0"/>
    <s v="Yes"/>
    <n v="20"/>
    <n v="3"/>
    <n v="62"/>
  </r>
  <r>
    <n v="3289"/>
    <s v="Xuxa Meneghel"/>
    <x v="2"/>
    <d v="2024-04-24T00:00:00"/>
    <x v="1"/>
    <n v="10"/>
    <x v="0"/>
    <s v="No"/>
    <x v="1"/>
    <s v="Yes"/>
    <n v="20"/>
    <n v="10"/>
    <n v="20"/>
  </r>
  <r>
    <n v="3290"/>
    <s v="Yara Figueiredo"/>
    <x v="1"/>
    <d v="2024-04-25T00:00:00"/>
    <x v="0"/>
    <n v="5"/>
    <x v="2"/>
    <s v="No"/>
    <x v="1"/>
    <s v="No"/>
    <n v="0"/>
    <n v="0"/>
    <n v="5"/>
  </r>
  <r>
    <n v="3291"/>
    <s v="Zacarias Alves"/>
    <x v="0"/>
    <d v="2024-04-26T00:00:00"/>
    <x v="1"/>
    <n v="15"/>
    <x v="0"/>
    <s v="Yes"/>
    <x v="0"/>
    <s v="Yes"/>
    <n v="20"/>
    <n v="5"/>
    <n v="60"/>
  </r>
  <r>
    <n v="3292"/>
    <s v="Amanda Bynes"/>
    <x v="2"/>
    <d v="2024-04-27T00:00:00"/>
    <x v="0"/>
    <n v="10"/>
    <x v="1"/>
    <s v="No"/>
    <x v="1"/>
    <s v="Yes"/>
    <n v="20"/>
    <n v="15"/>
    <n v="15"/>
  </r>
  <r>
    <n v="3293"/>
    <s v="Bruno Mars"/>
    <x v="1"/>
    <d v="2024-04-28T00:00:00"/>
    <x v="1"/>
    <n v="5"/>
    <x v="0"/>
    <s v="No"/>
    <x v="1"/>
    <s v="No"/>
    <n v="0"/>
    <n v="1"/>
    <n v="4"/>
  </r>
  <r>
    <n v="3294"/>
    <s v="Carla Bruni"/>
    <x v="0"/>
    <d v="2024-04-29T00:00:00"/>
    <x v="0"/>
    <n v="15"/>
    <x v="2"/>
    <s v="Yes"/>
    <x v="0"/>
    <s v="Yes"/>
    <n v="20"/>
    <n v="20"/>
    <n v="45"/>
  </r>
  <r>
    <n v="3295"/>
    <s v="Diego Maradona"/>
    <x v="2"/>
    <d v="2024-04-30T00:00:00"/>
    <x v="1"/>
    <n v="10"/>
    <x v="0"/>
    <s v="No"/>
    <x v="1"/>
    <s v="Yes"/>
    <n v="20"/>
    <n v="5"/>
    <n v="25"/>
  </r>
  <r>
    <n v="3296"/>
    <s v="Estela Marques"/>
    <x v="1"/>
    <d v="2024-05-01T00:00:00"/>
    <x v="1"/>
    <n v="5"/>
    <x v="0"/>
    <s v="No"/>
    <x v="1"/>
    <s v="No"/>
    <n v="0"/>
    <n v="0"/>
    <n v="5"/>
  </r>
  <r>
    <n v="3297"/>
    <s v="Fábio Nobre"/>
    <x v="0"/>
    <d v="2024-05-02T00:00:00"/>
    <x v="0"/>
    <n v="15"/>
    <x v="2"/>
    <s v="Yes"/>
    <x v="0"/>
    <s v="Yes"/>
    <n v="20"/>
    <n v="7"/>
    <n v="58"/>
  </r>
  <r>
    <n v="3298"/>
    <s v="Gabriel Oliveira"/>
    <x v="2"/>
    <d v="2024-05-03T00:00:00"/>
    <x v="1"/>
    <n v="10"/>
    <x v="1"/>
    <s v="No"/>
    <x v="1"/>
    <s v="Yes"/>
    <n v="20"/>
    <n v="10"/>
    <n v="20"/>
  </r>
  <r>
    <n v="3299"/>
    <s v="Helena Santos"/>
    <x v="1"/>
    <d v="2024-05-04T00:00:00"/>
    <x v="0"/>
    <n v="5"/>
    <x v="2"/>
    <s v="No"/>
    <x v="1"/>
    <s v="No"/>
    <n v="0"/>
    <n v="1"/>
    <n v="4"/>
  </r>
  <r>
    <n v="3300"/>
    <s v="Ivan Carvalho"/>
    <x v="0"/>
    <d v="2024-05-05T00:00:00"/>
    <x v="1"/>
    <n v="15"/>
    <x v="0"/>
    <s v="Yes"/>
    <x v="0"/>
    <s v="Yes"/>
    <n v="20"/>
    <n v="15"/>
    <n v="50"/>
  </r>
  <r>
    <n v="3301"/>
    <s v="Júlia Ferreira"/>
    <x v="2"/>
    <d v="2024-05-06T00:00:00"/>
    <x v="0"/>
    <n v="10"/>
    <x v="0"/>
    <s v="No"/>
    <x v="1"/>
    <s v="Yes"/>
    <n v="20"/>
    <n v="5"/>
    <n v="25"/>
  </r>
  <r>
    <n v="3302"/>
    <s v="Karla Alves"/>
    <x v="1"/>
    <d v="2024-05-07T00:00:00"/>
    <x v="1"/>
    <n v="5"/>
    <x v="1"/>
    <s v="No"/>
    <x v="1"/>
    <s v="No"/>
    <n v="0"/>
    <n v="0"/>
    <n v="5"/>
  </r>
  <r>
    <n v="3303"/>
    <s v="Lucas Mendes"/>
    <x v="0"/>
    <d v="2024-05-08T00:00:00"/>
    <x v="0"/>
    <n v="15"/>
    <x v="2"/>
    <s v="Yes"/>
    <x v="0"/>
    <s v="Yes"/>
    <n v="20"/>
    <n v="20"/>
    <n v="45"/>
  </r>
  <r>
    <n v="3304"/>
    <s v="Mônica Gomes"/>
    <x v="2"/>
    <d v="2024-05-09T00:00:00"/>
    <x v="1"/>
    <n v="10"/>
    <x v="2"/>
    <s v="No"/>
    <x v="1"/>
    <s v="Yes"/>
    <n v="20"/>
    <n v="12"/>
    <n v="18"/>
  </r>
  <r>
    <n v="3305"/>
    <s v="Norberto Queiroz"/>
    <x v="1"/>
    <d v="2024-05-10T00:00:00"/>
    <x v="0"/>
    <n v="5"/>
    <x v="0"/>
    <s v="No"/>
    <x v="1"/>
    <s v="No"/>
    <n v="0"/>
    <n v="2"/>
    <n v="3"/>
  </r>
  <r>
    <n v="3306"/>
    <s v="Otávio Barros"/>
    <x v="0"/>
    <d v="2024-05-11T00:00:00"/>
    <x v="1"/>
    <n v="15"/>
    <x v="1"/>
    <s v="Yes"/>
    <x v="0"/>
    <s v="Yes"/>
    <n v="20"/>
    <n v="5"/>
    <n v="60"/>
  </r>
  <r>
    <n v="3307"/>
    <s v="Paula Vieira"/>
    <x v="2"/>
    <d v="2024-05-12T00:00:00"/>
    <x v="0"/>
    <n v="10"/>
    <x v="0"/>
    <s v="No"/>
    <x v="1"/>
    <s v="Yes"/>
    <n v="20"/>
    <n v="10"/>
    <n v="20"/>
  </r>
  <r>
    <n v="3308"/>
    <s v="Quentin Ramos"/>
    <x v="1"/>
    <d v="2024-05-13T00:00:00"/>
    <x v="1"/>
    <n v="5"/>
    <x v="2"/>
    <s v="No"/>
    <x v="1"/>
    <s v="No"/>
    <n v="0"/>
    <n v="0"/>
    <n v="5"/>
  </r>
  <r>
    <n v="3309"/>
    <s v="Raquel Novaes"/>
    <x v="0"/>
    <d v="2024-05-14T00:00:00"/>
    <x v="0"/>
    <n v="15"/>
    <x v="0"/>
    <s v="Yes"/>
    <x v="0"/>
    <s v="Yes"/>
    <n v="20"/>
    <n v="3"/>
    <n v="62"/>
  </r>
  <r>
    <n v="3310"/>
    <s v="Samantha Lopes"/>
    <x v="2"/>
    <d v="2024-05-15T00:00:00"/>
    <x v="1"/>
    <n v="10"/>
    <x v="1"/>
    <s v="No"/>
    <x v="1"/>
    <s v="Yes"/>
    <n v="20"/>
    <n v="15"/>
    <n v="15"/>
  </r>
  <r>
    <n v="3311"/>
    <s v="Tiago Martins"/>
    <x v="1"/>
    <d v="2024-05-16T00:00:00"/>
    <x v="0"/>
    <n v="5"/>
    <x v="0"/>
    <s v="No"/>
    <x v="1"/>
    <s v="No"/>
    <n v="0"/>
    <n v="1"/>
    <n v="4"/>
  </r>
  <r>
    <n v="3312"/>
    <s v="Ulysses Guimarães"/>
    <x v="0"/>
    <d v="2024-05-17T00:00:00"/>
    <x v="1"/>
    <n v="15"/>
    <x v="2"/>
    <s v="Yes"/>
    <x v="0"/>
    <s v="Yes"/>
    <n v="20"/>
    <n v="7"/>
    <n v="58"/>
  </r>
  <r>
    <n v="3313"/>
    <s v="Vanessa Silva"/>
    <x v="2"/>
    <d v="2024-05-18T00:00:00"/>
    <x v="0"/>
    <n v="10"/>
    <x v="0"/>
    <s v="No"/>
    <x v="1"/>
    <s v="Yes"/>
    <n v="20"/>
    <n v="10"/>
    <n v="20"/>
  </r>
  <r>
    <n v="3314"/>
    <s v="William Carneiro"/>
    <x v="1"/>
    <d v="2024-05-19T00:00:00"/>
    <x v="1"/>
    <n v="5"/>
    <x v="1"/>
    <s v="No"/>
    <x v="1"/>
    <s v="No"/>
    <n v="0"/>
    <n v="0"/>
    <n v="5"/>
  </r>
  <r>
    <n v="3315"/>
    <s v="Ximena Rocha"/>
    <x v="0"/>
    <d v="2024-05-20T00:00:00"/>
    <x v="0"/>
    <n v="15"/>
    <x v="0"/>
    <s v="Yes"/>
    <x v="0"/>
    <s v="Yes"/>
    <n v="20"/>
    <n v="20"/>
    <n v="45"/>
  </r>
  <r>
    <n v="3316"/>
    <s v="Yasmin Figueiredo"/>
    <x v="2"/>
    <d v="2024-05-21T00:00:00"/>
    <x v="1"/>
    <n v="10"/>
    <x v="2"/>
    <s v="No"/>
    <x v="1"/>
    <s v="Yes"/>
    <n v="20"/>
    <n v="15"/>
    <n v="15"/>
  </r>
  <r>
    <n v="3317"/>
    <s v="Zara Cunha"/>
    <x v="1"/>
    <d v="2024-05-22T00:00:00"/>
    <x v="0"/>
    <n v="5"/>
    <x v="0"/>
    <s v="No"/>
    <x v="1"/>
    <s v="No"/>
    <n v="0"/>
    <n v="1"/>
    <n v="4"/>
  </r>
  <r>
    <n v="3318"/>
    <s v="Alan Teixeira"/>
    <x v="0"/>
    <d v="2024-05-23T00:00:00"/>
    <x v="1"/>
    <n v="15"/>
    <x v="1"/>
    <s v="Yes"/>
    <x v="0"/>
    <s v="Yes"/>
    <n v="20"/>
    <n v="3"/>
    <n v="62"/>
  </r>
  <r>
    <n v="3319"/>
    <s v="Bárbara Oliveira"/>
    <x v="2"/>
    <d v="2024-05-24T00:00:00"/>
    <x v="0"/>
    <n v="10"/>
    <x v="0"/>
    <s v="No"/>
    <x v="1"/>
    <s v="Yes"/>
    <n v="20"/>
    <n v="10"/>
    <n v="20"/>
  </r>
  <r>
    <n v="3320"/>
    <s v="Carlos Junqueira"/>
    <x v="1"/>
    <d v="2024-05-25T00:00:00"/>
    <x v="1"/>
    <n v="5"/>
    <x v="2"/>
    <s v="No"/>
    <x v="1"/>
    <s v="No"/>
    <n v="0"/>
    <n v="0"/>
    <n v="5"/>
  </r>
  <r>
    <n v="3321"/>
    <s v="Daniela Moura"/>
    <x v="0"/>
    <d v="2024-05-26T00:00:00"/>
    <x v="0"/>
    <n v="15"/>
    <x v="0"/>
    <s v="Yes"/>
    <x v="0"/>
    <s v="Yes"/>
    <n v="20"/>
    <n v="5"/>
    <n v="60"/>
  </r>
  <r>
    <n v="3322"/>
    <s v="Eduardo Lima"/>
    <x v="2"/>
    <d v="2024-05-27T00:00:00"/>
    <x v="1"/>
    <n v="10"/>
    <x v="1"/>
    <s v="No"/>
    <x v="1"/>
    <s v="Yes"/>
    <n v="20"/>
    <n v="15"/>
    <n v="15"/>
  </r>
  <r>
    <n v="3323"/>
    <s v="Fabiana Araújo"/>
    <x v="1"/>
    <d v="2024-05-28T00:00:00"/>
    <x v="0"/>
    <n v="5"/>
    <x v="0"/>
    <s v="No"/>
    <x v="1"/>
    <s v="No"/>
    <n v="0"/>
    <n v="1"/>
    <n v="4"/>
  </r>
  <r>
    <n v="3324"/>
    <s v="Geraldo Ribeiro"/>
    <x v="0"/>
    <d v="2024-05-29T00:00:00"/>
    <x v="1"/>
    <n v="15"/>
    <x v="2"/>
    <s v="Yes"/>
    <x v="0"/>
    <s v="Yes"/>
    <n v="20"/>
    <n v="20"/>
    <n v="45"/>
  </r>
  <r>
    <n v="3325"/>
    <s v="Héctor Vargas"/>
    <x v="2"/>
    <d v="2024-05-30T00:00:00"/>
    <x v="0"/>
    <n v="10"/>
    <x v="2"/>
    <s v="No"/>
    <x v="1"/>
    <s v="Yes"/>
    <n v="20"/>
    <n v="15"/>
    <n v="15"/>
  </r>
  <r>
    <n v="3326"/>
    <s v="Isabela Fonseca"/>
    <x v="1"/>
    <d v="2024-05-31T00:00:00"/>
    <x v="1"/>
    <n v="5"/>
    <x v="1"/>
    <s v="No"/>
    <x v="1"/>
    <s v="No"/>
    <n v="0"/>
    <n v="0"/>
    <n v="5"/>
  </r>
  <r>
    <n v="3327"/>
    <s v="João Pedro Almeida"/>
    <x v="0"/>
    <d v="2024-06-01T00:00:00"/>
    <x v="0"/>
    <n v="15"/>
    <x v="0"/>
    <s v="Yes"/>
    <x v="0"/>
    <s v="Yes"/>
    <n v="20"/>
    <n v="7"/>
    <n v="58"/>
  </r>
  <r>
    <n v="3328"/>
    <s v="Klara Costa"/>
    <x v="2"/>
    <d v="2024-06-02T00:00:00"/>
    <x v="1"/>
    <n v="10"/>
    <x v="1"/>
    <s v="No"/>
    <x v="1"/>
    <s v="Yes"/>
    <n v="20"/>
    <n v="10"/>
    <n v="20"/>
  </r>
  <r>
    <n v="3329"/>
    <s v="Luciana Mendes"/>
    <x v="1"/>
    <d v="2024-06-03T00:00:00"/>
    <x v="0"/>
    <n v="5"/>
    <x v="2"/>
    <s v="No"/>
    <x v="1"/>
    <s v="No"/>
    <n v="0"/>
    <n v="1"/>
    <n v="4"/>
  </r>
  <r>
    <n v="3330"/>
    <s v="Marcelo Gouveia"/>
    <x v="0"/>
    <d v="2024-06-04T00:00:00"/>
    <x v="1"/>
    <n v="15"/>
    <x v="0"/>
    <s v="Yes"/>
    <x v="0"/>
    <s v="Yes"/>
    <n v="20"/>
    <n v="15"/>
    <n v="50"/>
  </r>
  <r>
    <n v="3331"/>
    <s v="Nívea Borges"/>
    <x v="2"/>
    <d v="2024-06-05T00:00:00"/>
    <x v="0"/>
    <n v="10"/>
    <x v="0"/>
    <s v="No"/>
    <x v="1"/>
    <s v="Yes"/>
    <n v="20"/>
    <n v="5"/>
    <n v="25"/>
  </r>
  <r>
    <n v="3332"/>
    <s v="Oscar Nogueira"/>
    <x v="1"/>
    <d v="2024-06-06T00:00:00"/>
    <x v="1"/>
    <n v="5"/>
    <x v="1"/>
    <s v="No"/>
    <x v="1"/>
    <s v="No"/>
    <n v="0"/>
    <n v="0"/>
    <n v="5"/>
  </r>
  <r>
    <n v="3333"/>
    <s v="Patrícia Alves"/>
    <x v="0"/>
    <d v="2024-06-07T00:00:00"/>
    <x v="0"/>
    <n v="15"/>
    <x v="2"/>
    <s v="Yes"/>
    <x v="0"/>
    <s v="Yes"/>
    <n v="20"/>
    <n v="20"/>
    <n v="45"/>
  </r>
  <r>
    <n v="3334"/>
    <s v="Rafaela Silva"/>
    <x v="2"/>
    <d v="2024-06-08T00:00:00"/>
    <x v="1"/>
    <n v="10"/>
    <x v="2"/>
    <s v="No"/>
    <x v="1"/>
    <s v="Yes"/>
    <n v="20"/>
    <n v="12"/>
    <n v="18"/>
  </r>
  <r>
    <n v="3335"/>
    <s v="Samantha Moraes"/>
    <x v="1"/>
    <d v="2024-06-09T00:00:00"/>
    <x v="0"/>
    <n v="5"/>
    <x v="0"/>
    <s v="No"/>
    <x v="1"/>
    <s v="No"/>
    <n v="0"/>
    <n v="2"/>
    <n v="3"/>
  </r>
  <r>
    <n v="3336"/>
    <s v="Tatiana Rocha"/>
    <x v="1"/>
    <d v="2024-06-10T00:00:00"/>
    <x v="0"/>
    <n v="5"/>
    <x v="0"/>
    <s v="No"/>
    <x v="1"/>
    <s v="No"/>
    <n v="0"/>
    <n v="0"/>
    <n v="5"/>
  </r>
  <r>
    <n v="3337"/>
    <s v="Ulisses Tavares"/>
    <x v="0"/>
    <d v="2024-06-11T00:00:00"/>
    <x v="1"/>
    <n v="15"/>
    <x v="2"/>
    <s v="Yes"/>
    <x v="0"/>
    <s v="Yes"/>
    <n v="20"/>
    <n v="7"/>
    <n v="58"/>
  </r>
  <r>
    <n v="3338"/>
    <s v="Víctor Lemos"/>
    <x v="2"/>
    <d v="2024-06-12T00:00:00"/>
    <x v="0"/>
    <n v="10"/>
    <x v="1"/>
    <s v="No"/>
    <x v="1"/>
    <s v="Yes"/>
    <n v="20"/>
    <n v="10"/>
    <n v="20"/>
  </r>
  <r>
    <n v="3339"/>
    <s v="Wilma Barros"/>
    <x v="1"/>
    <d v="2024-06-13T00:00:00"/>
    <x v="1"/>
    <n v="5"/>
    <x v="2"/>
    <s v="No"/>
    <x v="1"/>
    <s v="No"/>
    <n v="0"/>
    <n v="1"/>
    <n v="4"/>
  </r>
  <r>
    <n v="3340"/>
    <s v="Xavier Nascimento"/>
    <x v="0"/>
    <d v="2024-06-14T00:00:00"/>
    <x v="0"/>
    <n v="15"/>
    <x v="0"/>
    <s v="Yes"/>
    <x v="0"/>
    <s v="Yes"/>
    <n v="20"/>
    <n v="15"/>
    <n v="50"/>
  </r>
  <r>
    <n v="3341"/>
    <s v="Yago Pereira"/>
    <x v="2"/>
    <d v="2024-06-15T00:00:00"/>
    <x v="1"/>
    <n v="10"/>
    <x v="0"/>
    <s v="No"/>
    <x v="1"/>
    <s v="Yes"/>
    <n v="20"/>
    <n v="5"/>
    <n v="25"/>
  </r>
  <r>
    <n v="3342"/>
    <s v="Zilda Ferreira"/>
    <x v="1"/>
    <d v="2024-06-16T00:00:00"/>
    <x v="0"/>
    <n v="5"/>
    <x v="1"/>
    <s v="No"/>
    <x v="1"/>
    <s v="No"/>
    <n v="0"/>
    <n v="0"/>
    <n v="5"/>
  </r>
  <r>
    <n v="3343"/>
    <s v="Amanda Lopes"/>
    <x v="0"/>
    <d v="2024-06-17T00:00:00"/>
    <x v="1"/>
    <n v="15"/>
    <x v="2"/>
    <s v="Yes"/>
    <x v="0"/>
    <s v="Yes"/>
    <n v="20"/>
    <n v="20"/>
    <n v="45"/>
  </r>
  <r>
    <n v="3344"/>
    <s v="Bruno Miranda"/>
    <x v="2"/>
    <d v="2024-06-18T00:00:00"/>
    <x v="0"/>
    <n v="10"/>
    <x v="2"/>
    <s v="No"/>
    <x v="1"/>
    <s v="Yes"/>
    <n v="20"/>
    <n v="12"/>
    <n v="18"/>
  </r>
  <r>
    <n v="3345"/>
    <s v="Célia Torres"/>
    <x v="1"/>
    <d v="2024-06-19T00:00:00"/>
    <x v="1"/>
    <n v="5"/>
    <x v="0"/>
    <s v="No"/>
    <x v="1"/>
    <s v="No"/>
    <n v="0"/>
    <n v="2"/>
    <n v="3"/>
  </r>
  <r>
    <n v="3346"/>
    <s v="Diogo Souza"/>
    <x v="0"/>
    <d v="2024-06-20T00:00:00"/>
    <x v="0"/>
    <n v="15"/>
    <x v="1"/>
    <s v="Yes"/>
    <x v="0"/>
    <s v="Yes"/>
    <n v="20"/>
    <n v="5"/>
    <n v="60"/>
  </r>
  <r>
    <n v="3347"/>
    <s v="Elisa Castro"/>
    <x v="2"/>
    <d v="2024-06-21T00:00:00"/>
    <x v="1"/>
    <n v="10"/>
    <x v="0"/>
    <s v="No"/>
    <x v="1"/>
    <s v="Yes"/>
    <n v="20"/>
    <n v="10"/>
    <n v="20"/>
  </r>
  <r>
    <n v="3348"/>
    <s v="Fátima Lima"/>
    <x v="1"/>
    <d v="2024-06-22T00:00:00"/>
    <x v="0"/>
    <n v="5"/>
    <x v="2"/>
    <s v="No"/>
    <x v="1"/>
    <s v="No"/>
    <n v="0"/>
    <n v="0"/>
    <n v="5"/>
  </r>
  <r>
    <n v="3349"/>
    <s v="Geraldo Ribeiro"/>
    <x v="0"/>
    <d v="2024-06-23T00:00:00"/>
    <x v="1"/>
    <n v="15"/>
    <x v="0"/>
    <s v="Yes"/>
    <x v="0"/>
    <s v="Yes"/>
    <n v="20"/>
    <n v="3"/>
    <n v="62"/>
  </r>
  <r>
    <n v="3350"/>
    <s v="Hélio Martins"/>
    <x v="2"/>
    <d v="2024-06-24T00:00:00"/>
    <x v="0"/>
    <n v="10"/>
    <x v="1"/>
    <s v="No"/>
    <x v="1"/>
    <s v="Yes"/>
    <n v="20"/>
    <n v="15"/>
    <n v="15"/>
  </r>
  <r>
    <n v="3351"/>
    <s v="Íris Santos"/>
    <x v="1"/>
    <d v="2024-06-25T00:00:00"/>
    <x v="1"/>
    <n v="5"/>
    <x v="0"/>
    <s v="No"/>
    <x v="1"/>
    <s v="No"/>
    <n v="0"/>
    <n v="1"/>
    <n v="4"/>
  </r>
  <r>
    <n v="3352"/>
    <s v="João Marcelo"/>
    <x v="0"/>
    <d v="2024-06-26T00:00:00"/>
    <x v="0"/>
    <n v="15"/>
    <x v="2"/>
    <s v="Yes"/>
    <x v="0"/>
    <s v="Yes"/>
    <n v="20"/>
    <n v="7"/>
    <n v="58"/>
  </r>
  <r>
    <n v="3353"/>
    <s v="Larissa Gomes"/>
    <x v="2"/>
    <d v="2024-06-27T00:00:00"/>
    <x v="1"/>
    <n v="10"/>
    <x v="0"/>
    <s v="No"/>
    <x v="1"/>
    <s v="Yes"/>
    <n v="20"/>
    <n v="10"/>
    <n v="20"/>
  </r>
  <r>
    <n v="3354"/>
    <s v="Márcio Silva"/>
    <x v="1"/>
    <d v="2024-06-28T00:00:00"/>
    <x v="0"/>
    <n v="5"/>
    <x v="1"/>
    <s v="No"/>
    <x v="1"/>
    <s v="No"/>
    <n v="0"/>
    <n v="0"/>
    <n v="5"/>
  </r>
  <r>
    <n v="3355"/>
    <s v="Nadia Costa"/>
    <x v="0"/>
    <d v="2024-06-29T00:00:00"/>
    <x v="1"/>
    <n v="15"/>
    <x v="0"/>
    <s v="Yes"/>
    <x v="0"/>
    <s v="Yes"/>
    <n v="20"/>
    <n v="20"/>
    <n v="45"/>
  </r>
  <r>
    <n v="3356"/>
    <s v="Oscar Almeida"/>
    <x v="2"/>
    <d v="2024-06-30T00:00:00"/>
    <x v="0"/>
    <n v="10"/>
    <x v="2"/>
    <s v="No"/>
    <x v="1"/>
    <s v="Yes"/>
    <n v="20"/>
    <n v="15"/>
    <n v="15"/>
  </r>
  <r>
    <n v="3357"/>
    <s v="Patricia Soares"/>
    <x v="1"/>
    <d v="2024-07-01T00:00:00"/>
    <x v="1"/>
    <n v="5"/>
    <x v="0"/>
    <s v="No"/>
    <x v="1"/>
    <s v="No"/>
    <n v="0"/>
    <n v="1"/>
    <n v="4"/>
  </r>
  <r>
    <n v="3358"/>
    <s v="Quênia Barros"/>
    <x v="0"/>
    <d v="2024-07-02T00:00:00"/>
    <x v="0"/>
    <n v="15"/>
    <x v="1"/>
    <s v="Yes"/>
    <x v="0"/>
    <s v="Yes"/>
    <n v="20"/>
    <n v="3"/>
    <n v="62"/>
  </r>
  <r>
    <n v="3359"/>
    <s v="Rafael Torres"/>
    <x v="2"/>
    <d v="2024-07-03T00:00:00"/>
    <x v="1"/>
    <n v="10"/>
    <x v="0"/>
    <s v="No"/>
    <x v="1"/>
    <s v="Yes"/>
    <n v="20"/>
    <n v="10"/>
    <n v="20"/>
  </r>
  <r>
    <n v="3360"/>
    <s v="Silvia Nascimento"/>
    <x v="1"/>
    <d v="2024-07-04T00:00:00"/>
    <x v="0"/>
    <n v="5"/>
    <x v="2"/>
    <s v="No"/>
    <x v="1"/>
    <s v="No"/>
    <n v="0"/>
    <n v="0"/>
    <n v="5"/>
  </r>
  <r>
    <n v="3361"/>
    <s v="Tiago Mendes"/>
    <x v="0"/>
    <d v="2024-07-05T00:00:00"/>
    <x v="1"/>
    <n v="15"/>
    <x v="0"/>
    <s v="Yes"/>
    <x v="0"/>
    <s v="Yes"/>
    <n v="20"/>
    <n v="15"/>
    <n v="50"/>
  </r>
  <r>
    <n v="3362"/>
    <s v="Ursula Silva"/>
    <x v="2"/>
    <d v="2024-07-06T00:00:00"/>
    <x v="0"/>
    <n v="10"/>
    <x v="1"/>
    <s v="No"/>
    <x v="1"/>
    <s v="Yes"/>
    <n v="20"/>
    <n v="15"/>
    <n v="15"/>
  </r>
  <r>
    <n v="3363"/>
    <s v="Vanessa Moraes"/>
    <x v="1"/>
    <d v="2024-07-07T00:00:00"/>
    <x v="1"/>
    <n v="5"/>
    <x v="0"/>
    <s v="No"/>
    <x v="1"/>
    <s v="No"/>
    <n v="0"/>
    <n v="1"/>
    <n v="4"/>
  </r>
  <r>
    <n v="3364"/>
    <s v="Waldir Junior"/>
    <x v="0"/>
    <d v="2024-07-08T00:00:00"/>
    <x v="0"/>
    <n v="15"/>
    <x v="2"/>
    <s v="Yes"/>
    <x v="0"/>
    <s v="Yes"/>
    <n v="20"/>
    <n v="7"/>
    <n v="58"/>
  </r>
  <r>
    <n v="3365"/>
    <s v="Xavier Lopes"/>
    <x v="2"/>
    <d v="2024-07-09T00:00:00"/>
    <x v="1"/>
    <n v="10"/>
    <x v="0"/>
    <s v="No"/>
    <x v="1"/>
    <s v="Yes"/>
    <n v="20"/>
    <n v="10"/>
    <n v="20"/>
  </r>
  <r>
    <n v="3366"/>
    <s v="Yolanda Freitas"/>
    <x v="1"/>
    <d v="2024-07-10T00:00:00"/>
    <x v="0"/>
    <n v="5"/>
    <x v="0"/>
    <s v="No"/>
    <x v="1"/>
    <s v="No"/>
    <n v="0"/>
    <n v="0"/>
    <n v="5"/>
  </r>
  <r>
    <n v="3367"/>
    <s v="Zacarias Nunes"/>
    <x v="0"/>
    <d v="2024-07-11T00:00:00"/>
    <x v="1"/>
    <n v="15"/>
    <x v="2"/>
    <s v="Yes"/>
    <x v="0"/>
    <s v="Yes"/>
    <n v="20"/>
    <n v="7"/>
    <n v="58"/>
  </r>
  <r>
    <n v="3368"/>
    <s v="Ana Clara Barreto"/>
    <x v="2"/>
    <d v="2024-07-12T00:00:00"/>
    <x v="0"/>
    <n v="10"/>
    <x v="1"/>
    <s v="No"/>
    <x v="1"/>
    <s v="Yes"/>
    <n v="20"/>
    <n v="10"/>
    <n v="20"/>
  </r>
  <r>
    <n v="3369"/>
    <s v="Bruno Henrique"/>
    <x v="1"/>
    <d v="2024-07-13T00:00:00"/>
    <x v="1"/>
    <n v="5"/>
    <x v="2"/>
    <s v="No"/>
    <x v="1"/>
    <s v="No"/>
    <n v="0"/>
    <n v="1"/>
    <n v="4"/>
  </r>
  <r>
    <n v="3370"/>
    <s v="Carlos Eduardo"/>
    <x v="0"/>
    <d v="2024-07-14T00:00:00"/>
    <x v="0"/>
    <n v="15"/>
    <x v="0"/>
    <s v="Yes"/>
    <x v="0"/>
    <s v="Yes"/>
    <n v="20"/>
    <n v="15"/>
    <n v="50"/>
  </r>
  <r>
    <n v="3371"/>
    <s v="Débora Lima"/>
    <x v="2"/>
    <d v="2024-07-15T00:00:00"/>
    <x v="1"/>
    <n v="10"/>
    <x v="0"/>
    <s v="No"/>
    <x v="1"/>
    <s v="Yes"/>
    <n v="20"/>
    <n v="5"/>
    <n v="25"/>
  </r>
  <r>
    <n v="3372"/>
    <s v="Elisa Neves"/>
    <x v="1"/>
    <d v="2024-07-16T00:00:00"/>
    <x v="0"/>
    <n v="5"/>
    <x v="1"/>
    <s v="No"/>
    <x v="1"/>
    <s v="No"/>
    <n v="0"/>
    <n v="0"/>
    <n v="5"/>
  </r>
  <r>
    <n v="3373"/>
    <s v="Fabiano Gomes"/>
    <x v="0"/>
    <d v="2024-07-17T00:00:00"/>
    <x v="1"/>
    <n v="15"/>
    <x v="2"/>
    <s v="Yes"/>
    <x v="0"/>
    <s v="Yes"/>
    <n v="20"/>
    <n v="20"/>
    <n v="45"/>
  </r>
  <r>
    <n v="3374"/>
    <s v="Gisele Oliveira"/>
    <x v="2"/>
    <d v="2024-07-18T00:00:00"/>
    <x v="0"/>
    <n v="10"/>
    <x v="2"/>
    <s v="No"/>
    <x v="1"/>
    <s v="Yes"/>
    <n v="20"/>
    <n v="12"/>
    <n v="18"/>
  </r>
  <r>
    <n v="3375"/>
    <s v="Héctor Silva"/>
    <x v="1"/>
    <d v="2024-07-19T00:00:00"/>
    <x v="1"/>
    <n v="5"/>
    <x v="0"/>
    <s v="No"/>
    <x v="1"/>
    <s v="No"/>
    <n v="0"/>
    <n v="2"/>
    <n v="3"/>
  </r>
  <r>
    <n v="3376"/>
    <s v="Igor Martins"/>
    <x v="0"/>
    <d v="2024-07-20T00:00:00"/>
    <x v="0"/>
    <n v="15"/>
    <x v="1"/>
    <s v="Yes"/>
    <x v="0"/>
    <s v="Yes"/>
    <n v="20"/>
    <n v="5"/>
    <n v="60"/>
  </r>
  <r>
    <n v="3377"/>
    <s v="Joana Figueiredo"/>
    <x v="2"/>
    <d v="2024-07-21T00:00:00"/>
    <x v="1"/>
    <n v="10"/>
    <x v="0"/>
    <s v="No"/>
    <x v="1"/>
    <s v="Yes"/>
    <n v="20"/>
    <n v="10"/>
    <n v="20"/>
  </r>
  <r>
    <n v="3378"/>
    <s v="Kleber Machado"/>
    <x v="1"/>
    <d v="2024-07-22T00:00:00"/>
    <x v="0"/>
    <n v="5"/>
    <x v="2"/>
    <s v="No"/>
    <x v="1"/>
    <s v="No"/>
    <n v="0"/>
    <n v="0"/>
    <n v="5"/>
  </r>
  <r>
    <n v="3379"/>
    <s v="Luciana Santos"/>
    <x v="0"/>
    <d v="2024-07-23T00:00:00"/>
    <x v="1"/>
    <n v="15"/>
    <x v="0"/>
    <s v="Yes"/>
    <x v="0"/>
    <s v="Yes"/>
    <n v="20"/>
    <n v="3"/>
    <n v="62"/>
  </r>
  <r>
    <n v="3380"/>
    <s v="Marcos Teixeira"/>
    <x v="2"/>
    <d v="2024-07-24T00:00:00"/>
    <x v="0"/>
    <n v="10"/>
    <x v="1"/>
    <s v="No"/>
    <x v="1"/>
    <s v="Yes"/>
    <n v="20"/>
    <n v="15"/>
    <n v="15"/>
  </r>
  <r>
    <n v="3381"/>
    <s v="Natalia Costa"/>
    <x v="1"/>
    <d v="2024-07-25T00:00:00"/>
    <x v="1"/>
    <n v="5"/>
    <x v="0"/>
    <s v="No"/>
    <x v="1"/>
    <s v="No"/>
    <n v="0"/>
    <n v="1"/>
    <n v="4"/>
  </r>
  <r>
    <n v="3382"/>
    <s v="Oscar Ribeiro"/>
    <x v="0"/>
    <d v="2024-07-26T00:00:00"/>
    <x v="0"/>
    <n v="15"/>
    <x v="2"/>
    <s v="Yes"/>
    <x v="0"/>
    <s v="Yes"/>
    <n v="20"/>
    <n v="7"/>
    <n v="58"/>
  </r>
  <r>
    <n v="3383"/>
    <s v="Patricia Almeida"/>
    <x v="2"/>
    <d v="2024-07-27T00:00:00"/>
    <x v="1"/>
    <n v="10"/>
    <x v="0"/>
    <s v="No"/>
    <x v="1"/>
    <s v="Yes"/>
    <n v="20"/>
    <n v="10"/>
    <n v="20"/>
  </r>
  <r>
    <n v="3384"/>
    <s v="Quirino Junior"/>
    <x v="1"/>
    <d v="2024-07-28T00:00:00"/>
    <x v="0"/>
    <n v="5"/>
    <x v="1"/>
    <s v="No"/>
    <x v="1"/>
    <s v="No"/>
    <n v="0"/>
    <n v="0"/>
    <n v="5"/>
  </r>
  <r>
    <n v="3385"/>
    <s v="Renata Machado"/>
    <x v="0"/>
    <d v="2024-07-29T00:00:00"/>
    <x v="1"/>
    <n v="15"/>
    <x v="0"/>
    <s v="Yes"/>
    <x v="0"/>
    <s v="Yes"/>
    <n v="20"/>
    <n v="20"/>
    <n v="45"/>
  </r>
  <r>
    <n v="3386"/>
    <s v="Sônia Alves"/>
    <x v="2"/>
    <d v="2024-07-30T00:00:00"/>
    <x v="0"/>
    <n v="10"/>
    <x v="2"/>
    <s v="No"/>
    <x v="1"/>
    <s v="Yes"/>
    <n v="20"/>
    <n v="15"/>
    <n v="15"/>
  </r>
  <r>
    <n v="3387"/>
    <s v="Tiago Nunes"/>
    <x v="1"/>
    <d v="2024-07-31T00:00:00"/>
    <x v="1"/>
    <n v="5"/>
    <x v="0"/>
    <s v="No"/>
    <x v="1"/>
    <s v="No"/>
    <n v="0"/>
    <n v="1"/>
    <n v="4"/>
  </r>
  <r>
    <n v="3388"/>
    <s v="Ulysses Pereira"/>
    <x v="0"/>
    <d v="2024-08-01T00:00:00"/>
    <x v="0"/>
    <n v="15"/>
    <x v="1"/>
    <s v="Yes"/>
    <x v="0"/>
    <s v="Yes"/>
    <n v="20"/>
    <n v="3"/>
    <n v="62"/>
  </r>
  <r>
    <n v="3389"/>
    <s v="Vanessa Lima"/>
    <x v="2"/>
    <d v="2024-08-02T00:00:00"/>
    <x v="1"/>
    <n v="10"/>
    <x v="0"/>
    <s v="No"/>
    <x v="1"/>
    <s v="Yes"/>
    <n v="20"/>
    <n v="10"/>
    <n v="20"/>
  </r>
  <r>
    <n v="3390"/>
    <s v="Wagner Santos"/>
    <x v="1"/>
    <d v="2024-08-03T00:00:00"/>
    <x v="0"/>
    <n v="5"/>
    <x v="2"/>
    <s v="No"/>
    <x v="1"/>
    <s v="No"/>
    <n v="0"/>
    <n v="0"/>
    <n v="5"/>
  </r>
  <r>
    <n v="3391"/>
    <s v="Xuxa Meneghel"/>
    <x v="0"/>
    <d v="2024-08-04T00:00:00"/>
    <x v="1"/>
    <n v="15"/>
    <x v="0"/>
    <s v="Yes"/>
    <x v="0"/>
    <s v="Yes"/>
    <n v="20"/>
    <n v="15"/>
    <n v="50"/>
  </r>
  <r>
    <n v="3392"/>
    <s v="Yasmin Silva"/>
    <x v="2"/>
    <d v="2024-08-05T00:00:00"/>
    <x v="0"/>
    <n v="10"/>
    <x v="1"/>
    <s v="No"/>
    <x v="1"/>
    <s v="Yes"/>
    <n v="20"/>
    <n v="15"/>
    <n v="15"/>
  </r>
  <r>
    <n v="3393"/>
    <s v="Zacarias de Souza"/>
    <x v="1"/>
    <d v="2024-08-06T00:00:00"/>
    <x v="1"/>
    <n v="5"/>
    <x v="0"/>
    <s v="No"/>
    <x v="1"/>
    <s v="No"/>
    <n v="0"/>
    <n v="1"/>
    <n v="4"/>
  </r>
  <r>
    <n v="3394"/>
    <s v="André Lima"/>
    <x v="0"/>
    <d v="2024-08-07T00:00:00"/>
    <x v="0"/>
    <n v="15"/>
    <x v="2"/>
    <s v="Yes"/>
    <x v="0"/>
    <s v="Yes"/>
    <n v="20"/>
    <n v="7"/>
    <n v="58"/>
  </r>
  <r>
    <n v="3395"/>
    <s v="Bianca Freitas"/>
    <x v="2"/>
    <d v="2024-08-08T00:00:00"/>
    <x v="1"/>
    <n v="10"/>
    <x v="0"/>
    <s v="No"/>
    <x v="1"/>
    <s v="Yes"/>
    <n v="20"/>
    <n v="10"/>
    <n v="20"/>
  </r>
  <r>
    <n v="3396"/>
    <s v="Caio Mendes"/>
    <x v="1"/>
    <d v="2024-08-09T00:00:00"/>
    <x v="0"/>
    <n v="5"/>
    <x v="1"/>
    <s v="No"/>
    <x v="1"/>
    <s v="No"/>
    <n v="0"/>
    <n v="0"/>
    <n v="5"/>
  </r>
  <r>
    <n v="3397"/>
    <s v="Daniela Moura"/>
    <x v="0"/>
    <d v="2024-08-10T00:00:00"/>
    <x v="1"/>
    <n v="15"/>
    <x v="0"/>
    <s v="Yes"/>
    <x v="0"/>
    <s v="Yes"/>
    <n v="20"/>
    <n v="20"/>
    <n v="45"/>
  </r>
  <r>
    <n v="3398"/>
    <s v="Eduardo Costa"/>
    <x v="2"/>
    <d v="2024-08-11T00:00:00"/>
    <x v="0"/>
    <n v="10"/>
    <x v="2"/>
    <s v="No"/>
    <x v="1"/>
    <s v="Yes"/>
    <n v="20"/>
    <n v="15"/>
    <n v="15"/>
  </r>
  <r>
    <n v="3399"/>
    <s v="Fernanda Gomes"/>
    <x v="1"/>
    <d v="2024-08-12T00:00:00"/>
    <x v="1"/>
    <n v="5"/>
    <x v="0"/>
    <s v="No"/>
    <x v="1"/>
    <s v="No"/>
    <n v="0"/>
    <n v="1"/>
    <n v="4"/>
  </r>
  <r>
    <n v="3400"/>
    <s v="Guilherme Souza"/>
    <x v="0"/>
    <d v="2024-08-13T00:00:00"/>
    <x v="0"/>
    <n v="15"/>
    <x v="1"/>
    <s v="Yes"/>
    <x v="0"/>
    <s v="Yes"/>
    <n v="20"/>
    <n v="5"/>
    <n v="60"/>
  </r>
  <r>
    <n v="3401"/>
    <s v="Helena Ribeiro"/>
    <x v="2"/>
    <d v="2024-08-14T00:00:00"/>
    <x v="1"/>
    <n v="10"/>
    <x v="0"/>
    <s v="No"/>
    <x v="1"/>
    <s v="Yes"/>
    <n v="20"/>
    <n v="10"/>
    <n v="20"/>
  </r>
  <r>
    <n v="3402"/>
    <s v="Igor Santos"/>
    <x v="1"/>
    <d v="2024-08-15T00:00:00"/>
    <x v="0"/>
    <n v="5"/>
    <x v="2"/>
    <s v="No"/>
    <x v="1"/>
    <s v="No"/>
    <n v="0"/>
    <n v="0"/>
    <n v="5"/>
  </r>
  <r>
    <n v="3403"/>
    <s v="João Carvalho"/>
    <x v="0"/>
    <d v="2024-08-16T00:00:00"/>
    <x v="1"/>
    <n v="15"/>
    <x v="0"/>
    <s v="Yes"/>
    <x v="0"/>
    <s v="Yes"/>
    <n v="20"/>
    <n v="3"/>
    <n v="62"/>
  </r>
  <r>
    <n v="3404"/>
    <s v="Klara Fagundes"/>
    <x v="2"/>
    <d v="2024-08-17T00:00:00"/>
    <x v="0"/>
    <n v="10"/>
    <x v="1"/>
    <s v="No"/>
    <x v="1"/>
    <s v="Yes"/>
    <n v="20"/>
    <n v="15"/>
    <n v="15"/>
  </r>
  <r>
    <n v="3405"/>
    <s v="Lúcia Mendonça"/>
    <x v="1"/>
    <d v="2024-08-18T00:00:00"/>
    <x v="1"/>
    <n v="5"/>
    <x v="0"/>
    <s v="No"/>
    <x v="1"/>
    <s v="No"/>
    <n v="0"/>
    <n v="1"/>
    <n v="4"/>
  </r>
  <r>
    <n v="3406"/>
    <s v="Marcelo Novaes"/>
    <x v="1"/>
    <d v="2024-08-19T00:00:00"/>
    <x v="0"/>
    <n v="5"/>
    <x v="0"/>
    <s v="No"/>
    <x v="1"/>
    <s v="No"/>
    <n v="0"/>
    <n v="0"/>
    <n v="5"/>
  </r>
  <r>
    <n v="3407"/>
    <s v="Nina Pacheco"/>
    <x v="0"/>
    <d v="2024-08-20T00:00:00"/>
    <x v="1"/>
    <n v="15"/>
    <x v="2"/>
    <s v="Yes"/>
    <x v="0"/>
    <s v="Yes"/>
    <n v="20"/>
    <n v="7"/>
    <n v="58"/>
  </r>
  <r>
    <n v="3408"/>
    <s v="Olívia Rios"/>
    <x v="2"/>
    <d v="2024-08-21T00:00:00"/>
    <x v="0"/>
    <n v="10"/>
    <x v="1"/>
    <s v="No"/>
    <x v="1"/>
    <s v="Yes"/>
    <n v="20"/>
    <n v="10"/>
    <n v="20"/>
  </r>
  <r>
    <n v="3409"/>
    <s v="Paulo Quintana"/>
    <x v="1"/>
    <d v="2024-08-22T00:00:00"/>
    <x v="1"/>
    <n v="5"/>
    <x v="2"/>
    <s v="No"/>
    <x v="1"/>
    <s v="No"/>
    <n v="0"/>
    <n v="1"/>
    <n v="4"/>
  </r>
  <r>
    <n v="3410"/>
    <s v="Raquel Domingos"/>
    <x v="0"/>
    <d v="2024-08-23T00:00:00"/>
    <x v="0"/>
    <n v="15"/>
    <x v="0"/>
    <s v="Yes"/>
    <x v="0"/>
    <s v="Yes"/>
    <n v="20"/>
    <n v="15"/>
    <n v="50"/>
  </r>
  <r>
    <n v="3411"/>
    <s v="Samuel Viana"/>
    <x v="2"/>
    <d v="2024-08-24T00:00:00"/>
    <x v="1"/>
    <n v="10"/>
    <x v="0"/>
    <s v="No"/>
    <x v="1"/>
    <s v="Yes"/>
    <n v="20"/>
    <n v="5"/>
    <n v="25"/>
  </r>
  <r>
    <n v="3412"/>
    <s v="Tatiane Rocha"/>
    <x v="1"/>
    <d v="2024-08-25T00:00:00"/>
    <x v="0"/>
    <n v="5"/>
    <x v="1"/>
    <s v="No"/>
    <x v="1"/>
    <s v="No"/>
    <n v="0"/>
    <n v="0"/>
    <n v="5"/>
  </r>
  <r>
    <n v="3413"/>
    <s v="Ulysses Farias"/>
    <x v="0"/>
    <d v="2024-08-26T00:00:00"/>
    <x v="1"/>
    <n v="15"/>
    <x v="2"/>
    <s v="Yes"/>
    <x v="0"/>
    <s v="Yes"/>
    <n v="20"/>
    <n v="20"/>
    <n v="45"/>
  </r>
  <r>
    <n v="3414"/>
    <s v="Vanessa Moreira"/>
    <x v="2"/>
    <d v="2024-08-27T00:00:00"/>
    <x v="0"/>
    <n v="10"/>
    <x v="2"/>
    <s v="No"/>
    <x v="1"/>
    <s v="Yes"/>
    <n v="20"/>
    <n v="12"/>
    <n v="18"/>
  </r>
  <r>
    <n v="3415"/>
    <s v="William Carvalho"/>
    <x v="1"/>
    <d v="2024-08-28T00:00:00"/>
    <x v="1"/>
    <n v="5"/>
    <x v="0"/>
    <s v="No"/>
    <x v="1"/>
    <s v="No"/>
    <n v="0"/>
    <n v="2"/>
    <n v="3"/>
  </r>
  <r>
    <n v="3416"/>
    <s v="Ximena Barros"/>
    <x v="0"/>
    <d v="2024-08-29T00:00:00"/>
    <x v="0"/>
    <n v="15"/>
    <x v="1"/>
    <s v="Yes"/>
    <x v="0"/>
    <s v="Yes"/>
    <n v="20"/>
    <n v="5"/>
    <n v="60"/>
  </r>
  <r>
    <n v="3417"/>
    <s v="Yara Machado"/>
    <x v="2"/>
    <d v="2024-08-30T00:00:00"/>
    <x v="1"/>
    <n v="10"/>
    <x v="0"/>
    <s v="No"/>
    <x v="1"/>
    <s v="Yes"/>
    <n v="20"/>
    <n v="10"/>
    <n v="20"/>
  </r>
  <r>
    <n v="3418"/>
    <s v="Zacarias Costa"/>
    <x v="1"/>
    <d v="2024-08-31T00:00:00"/>
    <x v="0"/>
    <n v="5"/>
    <x v="2"/>
    <s v="No"/>
    <x v="1"/>
    <s v="No"/>
    <n v="0"/>
    <n v="0"/>
    <n v="5"/>
  </r>
  <r>
    <n v="3419"/>
    <s v="André Lopes"/>
    <x v="0"/>
    <d v="2024-09-01T00:00:00"/>
    <x v="1"/>
    <n v="15"/>
    <x v="0"/>
    <s v="Yes"/>
    <x v="0"/>
    <s v="Yes"/>
    <n v="20"/>
    <n v="3"/>
    <n v="62"/>
  </r>
  <r>
    <n v="3420"/>
    <s v="Beatriz Souza"/>
    <x v="2"/>
    <d v="2024-09-02T00:00:00"/>
    <x v="0"/>
    <n v="10"/>
    <x v="1"/>
    <s v="No"/>
    <x v="1"/>
    <s v="Yes"/>
    <n v="20"/>
    <n v="15"/>
    <n v="15"/>
  </r>
  <r>
    <n v="3421"/>
    <s v="Caio Pereira"/>
    <x v="1"/>
    <d v="2024-09-03T00:00:00"/>
    <x v="1"/>
    <n v="5"/>
    <x v="0"/>
    <s v="No"/>
    <x v="1"/>
    <s v="No"/>
    <n v="0"/>
    <n v="1"/>
    <n v="4"/>
  </r>
  <r>
    <n v="3422"/>
    <s v="Daniela Araújo"/>
    <x v="0"/>
    <d v="2024-09-04T00:00:00"/>
    <x v="0"/>
    <n v="15"/>
    <x v="2"/>
    <s v="Yes"/>
    <x v="0"/>
    <s v="Yes"/>
    <n v="20"/>
    <n v="7"/>
    <n v="58"/>
  </r>
  <r>
    <n v="3423"/>
    <s v="Eduardo Santos"/>
    <x v="2"/>
    <d v="2024-09-05T00:00:00"/>
    <x v="1"/>
    <n v="10"/>
    <x v="0"/>
    <s v="No"/>
    <x v="1"/>
    <s v="Yes"/>
    <n v="20"/>
    <n v="10"/>
    <n v="20"/>
  </r>
  <r>
    <n v="3424"/>
    <s v="Fernanda Lima"/>
    <x v="1"/>
    <d v="2024-09-06T00:00:00"/>
    <x v="0"/>
    <n v="5"/>
    <x v="1"/>
    <s v="No"/>
    <x v="1"/>
    <s v="No"/>
    <n v="0"/>
    <n v="0"/>
    <n v="5"/>
  </r>
  <r>
    <n v="3425"/>
    <s v="Gabriel Teixeira"/>
    <x v="0"/>
    <d v="2024-09-07T00:00:00"/>
    <x v="1"/>
    <n v="15"/>
    <x v="0"/>
    <s v="Yes"/>
    <x v="0"/>
    <s v="Yes"/>
    <n v="20"/>
    <n v="20"/>
    <n v="45"/>
  </r>
  <r>
    <n v="3426"/>
    <s v="Helena Ribeiro"/>
    <x v="2"/>
    <d v="2024-09-08T00:00:00"/>
    <x v="0"/>
    <n v="10"/>
    <x v="2"/>
    <s v="No"/>
    <x v="1"/>
    <s v="Yes"/>
    <n v="20"/>
    <n v="15"/>
    <n v="15"/>
  </r>
  <r>
    <n v="3427"/>
    <s v="Igor Mendes"/>
    <x v="1"/>
    <d v="2024-09-09T00:00:00"/>
    <x v="1"/>
    <n v="5"/>
    <x v="0"/>
    <s v="No"/>
    <x v="1"/>
    <s v="No"/>
    <n v="0"/>
    <n v="1"/>
    <n v="4"/>
  </r>
  <r>
    <n v="3428"/>
    <s v="Joana Silveira"/>
    <x v="0"/>
    <d v="2024-09-10T00:00:00"/>
    <x v="0"/>
    <n v="15"/>
    <x v="1"/>
    <s v="Yes"/>
    <x v="0"/>
    <s v="Yes"/>
    <n v="20"/>
    <n v="3"/>
    <n v="62"/>
  </r>
  <r>
    <n v="3429"/>
    <s v="Lucas Martins"/>
    <x v="2"/>
    <d v="2024-09-11T00:00:00"/>
    <x v="1"/>
    <n v="10"/>
    <x v="0"/>
    <s v="No"/>
    <x v="1"/>
    <s v="Yes"/>
    <n v="20"/>
    <n v="10"/>
    <n v="20"/>
  </r>
  <r>
    <n v="3430"/>
    <s v="Marcela Gouveia"/>
    <x v="1"/>
    <d v="2024-09-12T00:00:00"/>
    <x v="0"/>
    <n v="5"/>
    <x v="2"/>
    <s v="No"/>
    <x v="1"/>
    <s v="No"/>
    <n v="0"/>
    <n v="0"/>
    <n v="5"/>
  </r>
  <r>
    <n v="3431"/>
    <s v="Nicolas Borges"/>
    <x v="0"/>
    <d v="2024-09-13T00:00:00"/>
    <x v="1"/>
    <n v="15"/>
    <x v="0"/>
    <s v="Yes"/>
    <x v="0"/>
    <s v="Yes"/>
    <n v="20"/>
    <n v="15"/>
    <n v="50"/>
  </r>
  <r>
    <n v="3432"/>
    <s v="Olivia Freitas"/>
    <x v="2"/>
    <d v="2024-09-14T00:00:00"/>
    <x v="0"/>
    <n v="10"/>
    <x v="1"/>
    <s v="No"/>
    <x v="1"/>
    <s v="Yes"/>
    <n v="20"/>
    <n v="15"/>
    <n v="15"/>
  </r>
  <r>
    <n v="3433"/>
    <s v="Paulo Nogueira"/>
    <x v="1"/>
    <d v="2024-09-15T00:00:00"/>
    <x v="1"/>
    <n v="5"/>
    <x v="0"/>
    <s v="No"/>
    <x v="1"/>
    <s v="No"/>
    <n v="0"/>
    <n v="1"/>
    <n v="4"/>
  </r>
  <r>
    <n v="3434"/>
    <s v="Raquel Andrade"/>
    <x v="0"/>
    <d v="2024-09-16T00:00:00"/>
    <x v="0"/>
    <n v="15"/>
    <x v="2"/>
    <s v="Yes"/>
    <x v="0"/>
    <s v="Yes"/>
    <n v="20"/>
    <n v="7"/>
    <n v="58"/>
  </r>
  <r>
    <n v="3435"/>
    <s v="Sônia Carvalho"/>
    <x v="2"/>
    <d v="2024-09-17T00:00:00"/>
    <x v="1"/>
    <n v="10"/>
    <x v="0"/>
    <s v="No"/>
    <x v="1"/>
    <s v="Yes"/>
    <n v="20"/>
    <n v="10"/>
    <n v="20"/>
  </r>
  <r>
    <n v="3436"/>
    <s v="Tiago Rodrigues"/>
    <x v="1"/>
    <d v="2024-09-18T00:00:00"/>
    <x v="0"/>
    <n v="5"/>
    <x v="0"/>
    <s v="No"/>
    <x v="1"/>
    <s v="No"/>
    <n v="0"/>
    <n v="0"/>
    <n v="5"/>
  </r>
  <r>
    <n v="3437"/>
    <s v="Ursula Monteiro"/>
    <x v="0"/>
    <d v="2024-09-19T00:00:00"/>
    <x v="1"/>
    <n v="15"/>
    <x v="2"/>
    <s v="Yes"/>
    <x v="0"/>
    <s v="Yes"/>
    <n v="20"/>
    <n v="7"/>
    <n v="58"/>
  </r>
  <r>
    <n v="3438"/>
    <s v="Vanessa Pereira"/>
    <x v="2"/>
    <d v="2024-09-20T00:00:00"/>
    <x v="0"/>
    <n v="10"/>
    <x v="1"/>
    <s v="No"/>
    <x v="1"/>
    <s v="Yes"/>
    <n v="20"/>
    <n v="10"/>
    <n v="20"/>
  </r>
  <r>
    <n v="3439"/>
    <s v="Walter Silva"/>
    <x v="1"/>
    <d v="2024-09-21T00:00:00"/>
    <x v="1"/>
    <n v="5"/>
    <x v="2"/>
    <s v="No"/>
    <x v="1"/>
    <s v="No"/>
    <n v="0"/>
    <n v="1"/>
    <n v="4"/>
  </r>
  <r>
    <n v="3440"/>
    <s v="Xavier Almeida"/>
    <x v="0"/>
    <d v="2024-09-22T00:00:00"/>
    <x v="0"/>
    <n v="15"/>
    <x v="0"/>
    <s v="Yes"/>
    <x v="0"/>
    <s v="Yes"/>
    <n v="20"/>
    <n v="15"/>
    <n v="50"/>
  </r>
  <r>
    <n v="3441"/>
    <s v="Yasmine Correia"/>
    <x v="2"/>
    <d v="2024-09-23T00:00:00"/>
    <x v="1"/>
    <n v="10"/>
    <x v="0"/>
    <s v="No"/>
    <x v="1"/>
    <s v="Yes"/>
    <n v="20"/>
    <n v="5"/>
    <n v="25"/>
  </r>
  <r>
    <n v="3442"/>
    <s v="Zacarias Almeida"/>
    <x v="1"/>
    <d v="2024-09-24T00:00:00"/>
    <x v="0"/>
    <n v="5"/>
    <x v="1"/>
    <s v="No"/>
    <x v="1"/>
    <s v="No"/>
    <n v="0"/>
    <n v="0"/>
    <n v="5"/>
  </r>
  <r>
    <n v="3443"/>
    <s v="Amanda Costa"/>
    <x v="0"/>
    <d v="2024-09-25T00:00:00"/>
    <x v="1"/>
    <n v="15"/>
    <x v="2"/>
    <s v="Yes"/>
    <x v="0"/>
    <s v="Yes"/>
    <n v="20"/>
    <n v="20"/>
    <n v="45"/>
  </r>
  <r>
    <n v="3444"/>
    <s v="Bruno Ferreira"/>
    <x v="2"/>
    <d v="2024-09-26T00:00:00"/>
    <x v="0"/>
    <n v="10"/>
    <x v="2"/>
    <s v="No"/>
    <x v="1"/>
    <s v="Yes"/>
    <n v="20"/>
    <n v="12"/>
    <n v="18"/>
  </r>
  <r>
    <n v="3445"/>
    <s v="Carla Dias"/>
    <x v="1"/>
    <d v="2024-09-27T00:00:00"/>
    <x v="1"/>
    <n v="5"/>
    <x v="0"/>
    <s v="No"/>
    <x v="1"/>
    <s v="No"/>
    <n v="0"/>
    <n v="2"/>
    <n v="3"/>
  </r>
  <r>
    <n v="3446"/>
    <s v="Diogo Martins"/>
    <x v="0"/>
    <d v="2024-09-28T00:00:00"/>
    <x v="0"/>
    <n v="15"/>
    <x v="1"/>
    <s v="Yes"/>
    <x v="0"/>
    <s v="Yes"/>
    <n v="20"/>
    <n v="5"/>
    <n v="60"/>
  </r>
  <r>
    <n v="3447"/>
    <s v="Elisa Campos"/>
    <x v="2"/>
    <d v="2024-09-29T00:00:00"/>
    <x v="1"/>
    <n v="10"/>
    <x v="0"/>
    <s v="No"/>
    <x v="1"/>
    <s v="Yes"/>
    <n v="20"/>
    <n v="10"/>
    <n v="20"/>
  </r>
  <r>
    <n v="3448"/>
    <s v="Fabiana Lima"/>
    <x v="1"/>
    <d v="2024-09-30T00:00:00"/>
    <x v="0"/>
    <n v="5"/>
    <x v="2"/>
    <s v="No"/>
    <x v="1"/>
    <s v="No"/>
    <n v="0"/>
    <n v="0"/>
    <n v="5"/>
  </r>
  <r>
    <n v="3449"/>
    <s v="Gabriel Santos"/>
    <x v="0"/>
    <d v="2024-10-01T00:00:00"/>
    <x v="1"/>
    <n v="15"/>
    <x v="0"/>
    <s v="Yes"/>
    <x v="0"/>
    <s v="Yes"/>
    <n v="20"/>
    <n v="3"/>
    <n v="62"/>
  </r>
  <r>
    <n v="3450"/>
    <s v="Helena Ferreira"/>
    <x v="2"/>
    <d v="2024-10-02T00:00:00"/>
    <x v="0"/>
    <n v="10"/>
    <x v="1"/>
    <s v="No"/>
    <x v="1"/>
    <s v="Yes"/>
    <n v="20"/>
    <n v="15"/>
    <n v="15"/>
  </r>
  <r>
    <n v="3451"/>
    <s v="Ígor Nunes"/>
    <x v="1"/>
    <d v="2024-10-03T00:00:00"/>
    <x v="1"/>
    <n v="5"/>
    <x v="0"/>
    <s v="No"/>
    <x v="1"/>
    <s v="No"/>
    <n v="0"/>
    <n v="1"/>
    <n v="4"/>
  </r>
  <r>
    <n v="3452"/>
    <s v="Joana Silveira"/>
    <x v="0"/>
    <d v="2024-10-04T00:00:00"/>
    <x v="0"/>
    <n v="15"/>
    <x v="2"/>
    <s v="Yes"/>
    <x v="0"/>
    <s v="Yes"/>
    <n v="20"/>
    <n v="7"/>
    <n v="58"/>
  </r>
  <r>
    <n v="3453"/>
    <s v="Kléber Oliveira"/>
    <x v="2"/>
    <d v="2024-10-05T00:00:00"/>
    <x v="1"/>
    <n v="10"/>
    <x v="0"/>
    <s v="No"/>
    <x v="1"/>
    <s v="Yes"/>
    <n v="20"/>
    <n v="10"/>
    <n v="20"/>
  </r>
  <r>
    <n v="3454"/>
    <s v="Luciana Morais"/>
    <x v="1"/>
    <d v="2024-10-06T00:00:00"/>
    <x v="0"/>
    <n v="5"/>
    <x v="1"/>
    <s v="No"/>
    <x v="1"/>
    <s v="No"/>
    <n v="0"/>
    <n v="0"/>
    <n v="5"/>
  </r>
  <r>
    <n v="3455"/>
    <s v="Marcos Vinícius"/>
    <x v="0"/>
    <d v="2024-10-07T00:00:00"/>
    <x v="1"/>
    <n v="15"/>
    <x v="0"/>
    <s v="Yes"/>
    <x v="0"/>
    <s v="Yes"/>
    <n v="20"/>
    <n v="20"/>
    <n v="45"/>
  </r>
  <r>
    <n v="3456"/>
    <s v="Natália Barros"/>
    <x v="2"/>
    <d v="2024-10-08T00:00:00"/>
    <x v="0"/>
    <n v="10"/>
    <x v="2"/>
    <s v="No"/>
    <x v="1"/>
    <s v="Yes"/>
    <n v="20"/>
    <n v="15"/>
    <n v="15"/>
  </r>
  <r>
    <n v="3457"/>
    <s v="Oscar Sampaio"/>
    <x v="1"/>
    <d v="2024-10-09T00:00:00"/>
    <x v="1"/>
    <n v="5"/>
    <x v="0"/>
    <s v="No"/>
    <x v="1"/>
    <s v="No"/>
    <n v="0"/>
    <n v="1"/>
    <n v="4"/>
  </r>
  <r>
    <n v="3458"/>
    <s v="Patrícia Leite"/>
    <x v="0"/>
    <d v="2024-10-10T00:00:00"/>
    <x v="0"/>
    <n v="15"/>
    <x v="1"/>
    <s v="Yes"/>
    <x v="0"/>
    <s v="Yes"/>
    <n v="20"/>
    <n v="3"/>
    <n v="62"/>
  </r>
  <r>
    <n v="3459"/>
    <s v="Quênia Rocha"/>
    <x v="2"/>
    <d v="2024-10-11T00:00:00"/>
    <x v="1"/>
    <n v="10"/>
    <x v="0"/>
    <s v="No"/>
    <x v="1"/>
    <s v="Yes"/>
    <n v="20"/>
    <n v="10"/>
    <n v="20"/>
  </r>
  <r>
    <n v="3460"/>
    <s v="Rafael Torres"/>
    <x v="1"/>
    <d v="2024-10-12T00:00:00"/>
    <x v="0"/>
    <n v="5"/>
    <x v="2"/>
    <s v="No"/>
    <x v="1"/>
    <s v="No"/>
    <n v="0"/>
    <n v="0"/>
    <n v="5"/>
  </r>
  <r>
    <n v="3461"/>
    <s v="Sandra Gouveia"/>
    <x v="0"/>
    <d v="2024-10-13T00:00:00"/>
    <x v="1"/>
    <n v="15"/>
    <x v="0"/>
    <s v="Yes"/>
    <x v="0"/>
    <s v="Yes"/>
    <n v="20"/>
    <n v="15"/>
    <n v="50"/>
  </r>
  <r>
    <n v="3462"/>
    <s v="Tiago Lacerda"/>
    <x v="2"/>
    <d v="2024-10-14T00:00:00"/>
    <x v="0"/>
    <n v="10"/>
    <x v="1"/>
    <s v="No"/>
    <x v="1"/>
    <s v="Yes"/>
    <n v="20"/>
    <n v="15"/>
    <n v="15"/>
  </r>
  <r>
    <n v="3463"/>
    <s v="Ursula Fonseca"/>
    <x v="1"/>
    <d v="2024-10-15T00:00:00"/>
    <x v="1"/>
    <n v="5"/>
    <x v="0"/>
    <s v="No"/>
    <x v="1"/>
    <s v="No"/>
    <n v="0"/>
    <n v="1"/>
    <n v="4"/>
  </r>
  <r>
    <n v="3464"/>
    <s v="Vanessa Andrade"/>
    <x v="0"/>
    <d v="2024-10-16T00:00:00"/>
    <x v="0"/>
    <n v="15"/>
    <x v="2"/>
    <s v="Yes"/>
    <x v="0"/>
    <s v="Yes"/>
    <n v="20"/>
    <n v="7"/>
    <n v="58"/>
  </r>
  <r>
    <n v="3465"/>
    <s v="William Castro"/>
    <x v="2"/>
    <d v="2024-10-17T00:00:00"/>
    <x v="1"/>
    <n v="10"/>
    <x v="0"/>
    <s v="No"/>
    <x v="1"/>
    <s v="Yes"/>
    <n v="20"/>
    <n v="10"/>
    <n v="20"/>
  </r>
  <r>
    <n v="3466"/>
    <s v="Xavier Monteiro"/>
    <x v="1"/>
    <d v="2024-10-18T00:00:00"/>
    <x v="0"/>
    <n v="5"/>
    <x v="1"/>
    <s v="No"/>
    <x v="1"/>
    <s v="No"/>
    <n v="0"/>
    <n v="0"/>
    <n v="5"/>
  </r>
  <r>
    <n v="3467"/>
    <s v="Yasmin Figueira"/>
    <x v="0"/>
    <d v="2024-10-19T00:00:00"/>
    <x v="1"/>
    <n v="15"/>
    <x v="0"/>
    <s v="Yes"/>
    <x v="0"/>
    <s v="Yes"/>
    <n v="20"/>
    <n v="15"/>
    <n v="50"/>
  </r>
  <r>
    <n v="3468"/>
    <s v="Zacarias Mendonça"/>
    <x v="2"/>
    <d v="2024-10-20T00:00:00"/>
    <x v="0"/>
    <n v="10"/>
    <x v="2"/>
    <s v="No"/>
    <x v="1"/>
    <s v="Yes"/>
    <n v="20"/>
    <n v="12"/>
    <n v="18"/>
  </r>
  <r>
    <n v="3469"/>
    <s v="Amanda Menezes"/>
    <x v="1"/>
    <d v="2024-10-21T00:00:00"/>
    <x v="1"/>
    <n v="5"/>
    <x v="0"/>
    <s v="No"/>
    <x v="1"/>
    <s v="No"/>
    <n v="0"/>
    <n v="2"/>
    <n v="3"/>
  </r>
  <r>
    <n v="3470"/>
    <s v="Bruno Santos"/>
    <x v="0"/>
    <d v="2024-10-22T00:00:00"/>
    <x v="0"/>
    <n v="15"/>
    <x v="1"/>
    <s v="Yes"/>
    <x v="0"/>
    <s v="Yes"/>
    <n v="20"/>
    <n v="5"/>
    <n v="60"/>
  </r>
  <r>
    <n v="3471"/>
    <s v="Carla Ferreira"/>
    <x v="2"/>
    <d v="2024-10-23T00:00:00"/>
    <x v="1"/>
    <n v="10"/>
    <x v="0"/>
    <s v="No"/>
    <x v="1"/>
    <s v="Yes"/>
    <n v="20"/>
    <n v="10"/>
    <n v="20"/>
  </r>
  <r>
    <n v="3472"/>
    <s v="Diogo Alves"/>
    <x v="1"/>
    <d v="2024-10-24T00:00:00"/>
    <x v="0"/>
    <n v="5"/>
    <x v="2"/>
    <s v="No"/>
    <x v="1"/>
    <s v="No"/>
    <n v="0"/>
    <n v="0"/>
    <n v="5"/>
  </r>
  <r>
    <n v="3473"/>
    <s v="Elisa Neves"/>
    <x v="0"/>
    <d v="2024-10-25T00:00:00"/>
    <x v="1"/>
    <n v="15"/>
    <x v="0"/>
    <s v="Yes"/>
    <x v="0"/>
    <s v="Yes"/>
    <n v="20"/>
    <n v="3"/>
    <n v="62"/>
  </r>
  <r>
    <n v="3474"/>
    <s v="Fabiano Pires"/>
    <x v="2"/>
    <d v="2024-10-26T00:00:00"/>
    <x v="0"/>
    <n v="10"/>
    <x v="1"/>
    <s v="No"/>
    <x v="1"/>
    <s v="Yes"/>
    <n v="20"/>
    <n v="15"/>
    <n v="15"/>
  </r>
  <r>
    <n v="3475"/>
    <s v="Giovana Ribeiro"/>
    <x v="1"/>
    <d v="2024-10-27T00:00:00"/>
    <x v="1"/>
    <n v="5"/>
    <x v="0"/>
    <s v="No"/>
    <x v="1"/>
    <s v="No"/>
    <n v="0"/>
    <n v="1"/>
    <n v="4"/>
  </r>
  <r>
    <n v="3476"/>
    <s v="Hélio Costa"/>
    <x v="0"/>
    <d v="2024-10-28T00:00:00"/>
    <x v="0"/>
    <n v="15"/>
    <x v="2"/>
    <s v="Yes"/>
    <x v="0"/>
    <s v="Yes"/>
    <n v="20"/>
    <n v="7"/>
    <n v="58"/>
  </r>
  <r>
    <n v="3477"/>
    <s v="Íris Loureiro"/>
    <x v="2"/>
    <d v="2024-10-29T00:00:00"/>
    <x v="1"/>
    <n v="10"/>
    <x v="0"/>
    <s v="No"/>
    <x v="1"/>
    <s v="Yes"/>
    <n v="20"/>
    <n v="10"/>
    <n v="20"/>
  </r>
  <r>
    <n v="3478"/>
    <s v="João Pereira"/>
    <x v="1"/>
    <d v="2024-10-30T00:00:00"/>
    <x v="0"/>
    <n v="5"/>
    <x v="1"/>
    <s v="No"/>
    <x v="1"/>
    <s v="No"/>
    <n v="0"/>
    <n v="0"/>
    <n v="5"/>
  </r>
  <r>
    <n v="3479"/>
    <s v="Klara Silva"/>
    <x v="0"/>
    <d v="2024-10-31T00:00:00"/>
    <x v="1"/>
    <n v="15"/>
    <x v="0"/>
    <s v="Yes"/>
    <x v="0"/>
    <s v="Yes"/>
    <n v="20"/>
    <n v="20"/>
    <n v="45"/>
  </r>
  <r>
    <n v="3480"/>
    <s v="Luciana Barros"/>
    <x v="2"/>
    <d v="2024-11-01T00:00:00"/>
    <x v="0"/>
    <n v="10"/>
    <x v="2"/>
    <s v="No"/>
    <x v="1"/>
    <s v="Yes"/>
    <n v="20"/>
    <n v="15"/>
    <n v="15"/>
  </r>
  <r>
    <n v="3481"/>
    <s v="Marcos Gomes"/>
    <x v="1"/>
    <d v="2024-11-02T00:00:00"/>
    <x v="1"/>
    <n v="5"/>
    <x v="0"/>
    <s v="No"/>
    <x v="1"/>
    <s v="No"/>
    <n v="0"/>
    <n v="1"/>
    <n v="4"/>
  </r>
  <r>
    <n v="3482"/>
    <s v="Natália Soares"/>
    <x v="0"/>
    <d v="2024-11-03T00:00:00"/>
    <x v="0"/>
    <n v="15"/>
    <x v="1"/>
    <s v="Yes"/>
    <x v="0"/>
    <s v="Yes"/>
    <n v="20"/>
    <n v="3"/>
    <n v="62"/>
  </r>
  <r>
    <n v="3483"/>
    <s v="Oscar Machado"/>
    <x v="2"/>
    <d v="2024-11-04T00:00:00"/>
    <x v="1"/>
    <n v="10"/>
    <x v="0"/>
    <s v="No"/>
    <x v="1"/>
    <s v="Yes"/>
    <n v="20"/>
    <n v="10"/>
    <n v="20"/>
  </r>
  <r>
    <n v="3484"/>
    <s v="Patrícia Lima"/>
    <x v="1"/>
    <d v="2024-11-05T00:00:00"/>
    <x v="0"/>
    <n v="5"/>
    <x v="2"/>
    <s v="No"/>
    <x v="1"/>
    <s v="No"/>
    <n v="0"/>
    <n v="0"/>
    <n v="5"/>
  </r>
  <r>
    <n v="3485"/>
    <s v="Quirino Neto"/>
    <x v="0"/>
    <d v="2024-11-06T00:00:00"/>
    <x v="1"/>
    <n v="15"/>
    <x v="0"/>
    <s v="Yes"/>
    <x v="0"/>
    <s v="Yes"/>
    <n v="20"/>
    <n v="15"/>
    <n v="50"/>
  </r>
  <r>
    <n v="3486"/>
    <s v="Rafaela Souza"/>
    <x v="1"/>
    <d v="2024-11-07T00:00:00"/>
    <x v="0"/>
    <n v="5"/>
    <x v="0"/>
    <s v="No"/>
    <x v="1"/>
    <s v="No"/>
    <n v="0"/>
    <n v="0"/>
    <n v="5"/>
  </r>
  <r>
    <n v="3487"/>
    <s v="Sandro Almeida"/>
    <x v="0"/>
    <d v="2024-11-08T00:00:00"/>
    <x v="1"/>
    <n v="15"/>
    <x v="2"/>
    <s v="Yes"/>
    <x v="0"/>
    <s v="Yes"/>
    <n v="20"/>
    <n v="7"/>
    <n v="58"/>
  </r>
  <r>
    <n v="3488"/>
    <s v="Tânia Ribeiro"/>
    <x v="2"/>
    <d v="2024-11-09T00:00:00"/>
    <x v="0"/>
    <n v="10"/>
    <x v="1"/>
    <s v="No"/>
    <x v="1"/>
    <s v="Yes"/>
    <n v="20"/>
    <n v="10"/>
    <n v="20"/>
  </r>
  <r>
    <n v="3489"/>
    <s v="Ugo Dias"/>
    <x v="1"/>
    <d v="2024-11-10T00:00:00"/>
    <x v="1"/>
    <n v="5"/>
    <x v="2"/>
    <s v="No"/>
    <x v="1"/>
    <s v="No"/>
    <n v="0"/>
    <n v="1"/>
    <n v="4"/>
  </r>
  <r>
    <n v="3490"/>
    <s v="Valéria Lima"/>
    <x v="0"/>
    <d v="2024-11-11T00:00:00"/>
    <x v="0"/>
    <n v="15"/>
    <x v="0"/>
    <s v="Yes"/>
    <x v="0"/>
    <s v="Yes"/>
    <n v="20"/>
    <n v="15"/>
    <n v="50"/>
  </r>
  <r>
    <n v="3491"/>
    <s v="William Fernandes"/>
    <x v="2"/>
    <d v="2024-11-12T00:00:00"/>
    <x v="1"/>
    <n v="10"/>
    <x v="0"/>
    <s v="No"/>
    <x v="1"/>
    <s v="Yes"/>
    <n v="20"/>
    <n v="5"/>
    <n v="25"/>
  </r>
  <r>
    <n v="3492"/>
    <s v="Xuxa Mendes"/>
    <x v="1"/>
    <d v="2024-11-13T00:00:00"/>
    <x v="0"/>
    <n v="5"/>
    <x v="1"/>
    <s v="No"/>
    <x v="1"/>
    <s v="No"/>
    <n v="0"/>
    <n v="0"/>
    <n v="5"/>
  </r>
  <r>
    <n v="3493"/>
    <s v="Ygor Farias"/>
    <x v="0"/>
    <d v="2024-11-14T00:00:00"/>
    <x v="1"/>
    <n v="15"/>
    <x v="2"/>
    <s v="Yes"/>
    <x v="0"/>
    <s v="Yes"/>
    <n v="20"/>
    <n v="20"/>
    <n v="45"/>
  </r>
  <r>
    <n v="3494"/>
    <s v="Zilda Barros"/>
    <x v="2"/>
    <d v="2024-11-15T00:00:00"/>
    <x v="0"/>
    <n v="10"/>
    <x v="2"/>
    <s v="No"/>
    <x v="1"/>
    <s v="Yes"/>
    <n v="20"/>
    <n v="12"/>
    <n v="18"/>
  </r>
  <r>
    <n v="3495"/>
    <s v="Amanda Santos"/>
    <x v="1"/>
    <d v="2024-11-16T00:00:00"/>
    <x v="1"/>
    <n v="5"/>
    <x v="0"/>
    <s v="No"/>
    <x v="1"/>
    <s v="No"/>
    <n v="0"/>
    <n v="2"/>
    <n v="3"/>
  </r>
  <r>
    <n v="3496"/>
    <s v="Bruno Costa"/>
    <x v="0"/>
    <d v="2024-11-17T00:00:00"/>
    <x v="0"/>
    <n v="15"/>
    <x v="1"/>
    <s v="Yes"/>
    <x v="0"/>
    <s v="Yes"/>
    <n v="20"/>
    <n v="5"/>
    <n v="60"/>
  </r>
  <r>
    <n v="3497"/>
    <s v="Carla Rodrigues"/>
    <x v="2"/>
    <d v="2024-11-18T00:00:00"/>
    <x v="1"/>
    <n v="10"/>
    <x v="0"/>
    <s v="No"/>
    <x v="1"/>
    <s v="Yes"/>
    <n v="20"/>
    <n v="10"/>
    <n v="20"/>
  </r>
  <r>
    <n v="3498"/>
    <s v="Diogo Pereira"/>
    <x v="1"/>
    <d v="2024-11-19T00:00:00"/>
    <x v="0"/>
    <n v="5"/>
    <x v="2"/>
    <s v="No"/>
    <x v="1"/>
    <s v="No"/>
    <n v="0"/>
    <n v="0"/>
    <n v="5"/>
  </r>
  <r>
    <n v="3499"/>
    <s v="Elisa Correia"/>
    <x v="0"/>
    <d v="2024-11-20T00:00:00"/>
    <x v="1"/>
    <n v="15"/>
    <x v="0"/>
    <s v="Yes"/>
    <x v="0"/>
    <s v="Yes"/>
    <n v="20"/>
    <n v="3"/>
    <n v="62"/>
  </r>
  <r>
    <n v="3500"/>
    <s v="Fábio Lourenço"/>
    <x v="2"/>
    <d v="2024-11-21T00:00:00"/>
    <x v="0"/>
    <n v="10"/>
    <x v="1"/>
    <s v="No"/>
    <x v="1"/>
    <s v="Yes"/>
    <n v="20"/>
    <n v="15"/>
    <n v="15"/>
  </r>
  <r>
    <n v="3501"/>
    <s v="Gabriela Neves"/>
    <x v="1"/>
    <d v="2024-11-22T00:00:00"/>
    <x v="1"/>
    <n v="5"/>
    <x v="0"/>
    <s v="No"/>
    <x v="1"/>
    <s v="No"/>
    <n v="0"/>
    <n v="1"/>
    <n v="4"/>
  </r>
  <r>
    <n v="3502"/>
    <s v="Henrique Gonçalves"/>
    <x v="0"/>
    <d v="2024-11-23T00:00:00"/>
    <x v="0"/>
    <n v="15"/>
    <x v="2"/>
    <s v="Yes"/>
    <x v="0"/>
    <s v="Yes"/>
    <n v="20"/>
    <n v="7"/>
    <n v="58"/>
  </r>
  <r>
    <n v="3503"/>
    <s v="Íris Santos"/>
    <x v="2"/>
    <d v="2024-11-24T00:00:00"/>
    <x v="1"/>
    <n v="10"/>
    <x v="0"/>
    <s v="No"/>
    <x v="1"/>
    <s v="Yes"/>
    <n v="20"/>
    <n v="10"/>
    <n v="20"/>
  </r>
  <r>
    <n v="3504"/>
    <s v="João Marcelo Alves"/>
    <x v="1"/>
    <d v="2024-11-25T00:00:00"/>
    <x v="0"/>
    <n v="5"/>
    <x v="1"/>
    <s v="No"/>
    <x v="1"/>
    <s v="No"/>
    <n v="0"/>
    <n v="0"/>
    <n v="5"/>
  </r>
  <r>
    <n v="3505"/>
    <s v="Klara Fonseca"/>
    <x v="0"/>
    <d v="2024-11-26T00:00:00"/>
    <x v="1"/>
    <n v="15"/>
    <x v="0"/>
    <s v="Yes"/>
    <x v="0"/>
    <s v="Yes"/>
    <n v="20"/>
    <n v="20"/>
    <n v="45"/>
  </r>
  <r>
    <n v="3506"/>
    <s v="Lucas Mendonça"/>
    <x v="2"/>
    <d v="2024-11-27T00:00:00"/>
    <x v="0"/>
    <n v="10"/>
    <x v="2"/>
    <s v="No"/>
    <x v="1"/>
    <s v="Yes"/>
    <n v="20"/>
    <n v="15"/>
    <n v="15"/>
  </r>
  <r>
    <n v="3507"/>
    <s v="Marcela Torres"/>
    <x v="1"/>
    <d v="2024-11-28T00:00:00"/>
    <x v="1"/>
    <n v="5"/>
    <x v="0"/>
    <s v="No"/>
    <x v="1"/>
    <s v="No"/>
    <n v="0"/>
    <n v="1"/>
    <n v="4"/>
  </r>
  <r>
    <n v="3508"/>
    <s v="Natália Castro"/>
    <x v="0"/>
    <d v="2024-11-29T00:00:00"/>
    <x v="0"/>
    <n v="15"/>
    <x v="1"/>
    <s v="Yes"/>
    <x v="0"/>
    <s v="Yes"/>
    <n v="20"/>
    <n v="3"/>
    <n v="62"/>
  </r>
  <r>
    <n v="3509"/>
    <s v="Oscar Martins"/>
    <x v="2"/>
    <d v="2024-11-30T00:00:00"/>
    <x v="1"/>
    <n v="10"/>
    <x v="0"/>
    <s v="No"/>
    <x v="1"/>
    <s v="Yes"/>
    <n v="20"/>
    <n v="10"/>
    <n v="20"/>
  </r>
  <r>
    <n v="3510"/>
    <s v="Patrícia Oliveira"/>
    <x v="1"/>
    <d v="2024-12-01T00:00:00"/>
    <x v="0"/>
    <n v="5"/>
    <x v="2"/>
    <s v="No"/>
    <x v="1"/>
    <s v="No"/>
    <n v="0"/>
    <n v="0"/>
    <n v="5"/>
  </r>
  <r>
    <n v="3511"/>
    <s v="Quentin Nogueira"/>
    <x v="0"/>
    <d v="2024-12-02T00:00:00"/>
    <x v="1"/>
    <n v="15"/>
    <x v="0"/>
    <s v="Yes"/>
    <x v="0"/>
    <s v="Yes"/>
    <n v="20"/>
    <n v="15"/>
    <n v="50"/>
  </r>
  <r>
    <n v="3512"/>
    <s v="Raquel Silva"/>
    <x v="2"/>
    <d v="2024-12-03T00:00:00"/>
    <x v="0"/>
    <n v="10"/>
    <x v="1"/>
    <s v="No"/>
    <x v="1"/>
    <s v="Yes"/>
    <n v="20"/>
    <n v="15"/>
    <n v="15"/>
  </r>
  <r>
    <n v="3513"/>
    <s v="Sandro Gomes"/>
    <x v="1"/>
    <d v="2024-12-04T00:00:00"/>
    <x v="1"/>
    <n v="5"/>
    <x v="0"/>
    <s v="No"/>
    <x v="1"/>
    <s v="No"/>
    <n v="0"/>
    <n v="1"/>
    <n v="4"/>
  </r>
  <r>
    <n v="3514"/>
    <s v="Tânia Machado"/>
    <x v="0"/>
    <d v="2024-12-05T00:00:00"/>
    <x v="0"/>
    <n v="15"/>
    <x v="2"/>
    <s v="Yes"/>
    <x v="0"/>
    <s v="Yes"/>
    <n v="20"/>
    <n v="7"/>
    <n v="58"/>
  </r>
  <r>
    <n v="3515"/>
    <s v="Ursula Silva"/>
    <x v="2"/>
    <d v="2024-12-06T00:00:00"/>
    <x v="1"/>
    <n v="10"/>
    <x v="0"/>
    <s v="No"/>
    <x v="1"/>
    <s v="Yes"/>
    <n v="20"/>
    <n v="10"/>
    <n v="20"/>
  </r>
  <r>
    <n v="3516"/>
    <s v="Vanessa Moraes"/>
    <x v="1"/>
    <d v="2024-12-07T00:00:00"/>
    <x v="0"/>
    <n v="5"/>
    <x v="1"/>
    <s v="No"/>
    <x v="1"/>
    <s v="No"/>
    <n v="0"/>
    <n v="0"/>
    <n v="5"/>
  </r>
  <r>
    <n v="3517"/>
    <s v="William Carvalho"/>
    <x v="0"/>
    <d v="2024-12-08T00:00:00"/>
    <x v="1"/>
    <n v="15"/>
    <x v="0"/>
    <s v="Yes"/>
    <x v="0"/>
    <s v="Yes"/>
    <n v="20"/>
    <n v="20"/>
    <n v="45"/>
  </r>
  <r>
    <n v="3518"/>
    <s v="Xavier Reis"/>
    <x v="2"/>
    <d v="2024-12-09T00:00:00"/>
    <x v="0"/>
    <n v="10"/>
    <x v="2"/>
    <s v="No"/>
    <x v="1"/>
    <s v="Yes"/>
    <n v="20"/>
    <n v="12"/>
    <n v="18"/>
  </r>
  <r>
    <n v="3519"/>
    <s v="Yasmin Rocha"/>
    <x v="1"/>
    <d v="2024-12-10T00:00:00"/>
    <x v="1"/>
    <n v="5"/>
    <x v="0"/>
    <s v="No"/>
    <x v="1"/>
    <s v="No"/>
    <n v="0"/>
    <n v="2"/>
    <n v="3"/>
  </r>
  <r>
    <n v="3520"/>
    <s v="Zacarias Duarte"/>
    <x v="0"/>
    <d v="2024-12-11T00:00:00"/>
    <x v="0"/>
    <n v="15"/>
    <x v="1"/>
    <s v="Yes"/>
    <x v="0"/>
    <s v="Yes"/>
    <n v="20"/>
    <n v="5"/>
    <n v="60"/>
  </r>
  <r>
    <n v="3521"/>
    <s v="Amanda Freitas"/>
    <x v="2"/>
    <d v="2024-12-12T00:00:00"/>
    <x v="1"/>
    <n v="10"/>
    <x v="0"/>
    <s v="No"/>
    <x v="1"/>
    <s v="Yes"/>
    <n v="20"/>
    <n v="10"/>
    <n v="20"/>
  </r>
  <r>
    <n v="3522"/>
    <s v="Bruno Almeida"/>
    <x v="1"/>
    <d v="2024-12-13T00:00:00"/>
    <x v="0"/>
    <n v="5"/>
    <x v="2"/>
    <s v="No"/>
    <x v="1"/>
    <s v="No"/>
    <n v="0"/>
    <n v="0"/>
    <n v="5"/>
  </r>
  <r>
    <n v="3523"/>
    <s v="Carla Siqueira"/>
    <x v="0"/>
    <d v="2024-12-14T00:00:00"/>
    <x v="1"/>
    <n v="15"/>
    <x v="0"/>
    <s v="Yes"/>
    <x v="0"/>
    <s v="Yes"/>
    <n v="20"/>
    <n v="3"/>
    <n v="62"/>
  </r>
  <r>
    <n v="3524"/>
    <s v="Diogo Ramos"/>
    <x v="2"/>
    <d v="2024-12-15T00:00:00"/>
    <x v="0"/>
    <n v="10"/>
    <x v="1"/>
    <s v="No"/>
    <x v="1"/>
    <s v="Yes"/>
    <n v="20"/>
    <n v="15"/>
    <n v="15"/>
  </r>
  <r>
    <n v="3525"/>
    <s v="Elisa Magalhães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84E0BA-AF62-4A47-AF4E-86CBB8828D6A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C12:D15" firstHeaderRow="1" firstDataRow="1" firstDataCol="1" rowPageCount="1" colPageCount="1"/>
  <pivotFields count="13">
    <pivotField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92119-7290-4609-8F8A-86CE5195F196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C21:D25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DC8B7C-9396-4DA2-8014-4E371905092F}" name="TBL_EA_SEASON_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G16:H20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05F75CE8-13B1-41FB-ADE7-7F3338C5E38A}" sourceName="Subscription Type">
  <pivotTables>
    <pivotTable tabId="3" name="TBL_ANNUAL_TOTAL"/>
    <pivotTable tabId="3" name="TBL_EA_SEASON_PASS_TOTAL"/>
    <pivotTable tabId="3" name="Tabela dinâmica3"/>
  </pivotTables>
  <data>
    <tabular pivotCacheId="250259698">
      <items count="3">
        <i x="1"/>
        <i x="0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AF06EDBA-BFA8-49EB-BAD2-8D728DEF9136}" cache="SegmentaçãodeDados_Subscription_Type" caption="Subscription Type" style="SlicerStyleLight3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/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blipFill>
          <a:blip xmlns:r="http://schemas.openxmlformats.org/officeDocument/2006/relationships" r:embed="rId1"/>
          <a:stretch>
            <a:fillRect/>
          </a:stretch>
        </a:blipFill>
        <a:ln>
          <a:noFill/>
        </a:ln>
      </a:spPr>
      <a:bodyPr vertOverflow="clip" horzOverflow="clip" rtlCol="0" anchor="t"/>
      <a:lstStyle>
        <a:defPPr algn="l">
          <a:defRPr sz="1100" kern="1200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6" zoomScaleNormal="100" workbookViewId="0">
      <selection activeCell="D36" sqref="D36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C1" sqref="C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9:I25"/>
  <sheetViews>
    <sheetView showGridLines="0" topLeftCell="A7" workbookViewId="0">
      <selection activeCell="D36" sqref="D36"/>
    </sheetView>
  </sheetViews>
  <sheetFormatPr defaultRowHeight="15" x14ac:dyDescent="0.25"/>
  <cols>
    <col min="3" max="3" width="18.42578125" bestFit="1" customWidth="1"/>
    <col min="4" max="4" width="35.140625" bestFit="1" customWidth="1"/>
    <col min="5" max="5" width="6.28515625" customWidth="1"/>
    <col min="6" max="6" width="19.140625" bestFit="1" customWidth="1"/>
    <col min="7" max="7" width="18.42578125" bestFit="1" customWidth="1"/>
    <col min="8" max="8" width="27.7109375" bestFit="1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9" spans="3:8" x14ac:dyDescent="0.25">
      <c r="C9" t="s">
        <v>317</v>
      </c>
    </row>
    <row r="10" spans="3:8" x14ac:dyDescent="0.25">
      <c r="C10" s="12" t="s">
        <v>16</v>
      </c>
      <c r="D10" t="s">
        <v>20</v>
      </c>
    </row>
    <row r="12" spans="3:8" x14ac:dyDescent="0.25">
      <c r="C12" s="12" t="s">
        <v>314</v>
      </c>
      <c r="D12" t="s">
        <v>313</v>
      </c>
    </row>
    <row r="13" spans="3:8" x14ac:dyDescent="0.25">
      <c r="C13" s="14" t="s">
        <v>23</v>
      </c>
      <c r="D13" s="13">
        <v>2824</v>
      </c>
    </row>
    <row r="14" spans="3:8" x14ac:dyDescent="0.25">
      <c r="C14" s="14" t="s">
        <v>19</v>
      </c>
      <c r="D14" s="13">
        <v>747</v>
      </c>
      <c r="G14" s="12" t="s">
        <v>16</v>
      </c>
      <c r="H14" t="s">
        <v>20</v>
      </c>
    </row>
    <row r="15" spans="3:8" x14ac:dyDescent="0.25">
      <c r="C15" s="14" t="s">
        <v>315</v>
      </c>
      <c r="D15" s="13">
        <v>3571</v>
      </c>
    </row>
    <row r="16" spans="3:8" x14ac:dyDescent="0.25">
      <c r="G16" s="12" t="s">
        <v>314</v>
      </c>
      <c r="H16" t="s">
        <v>318</v>
      </c>
    </row>
    <row r="17" spans="3:9" x14ac:dyDescent="0.25">
      <c r="G17" s="14" t="s">
        <v>22</v>
      </c>
      <c r="H17" s="22">
        <v>0</v>
      </c>
    </row>
    <row r="18" spans="3:9" x14ac:dyDescent="0.25">
      <c r="G18" s="14" t="s">
        <v>26</v>
      </c>
      <c r="H18" s="22">
        <v>0</v>
      </c>
    </row>
    <row r="19" spans="3:9" x14ac:dyDescent="0.25">
      <c r="C19" s="12" t="s">
        <v>16</v>
      </c>
      <c r="D19" t="s">
        <v>20</v>
      </c>
      <c r="G19" s="14" t="s">
        <v>18</v>
      </c>
      <c r="H19" s="22">
        <v>1350</v>
      </c>
    </row>
    <row r="20" spans="3:9" x14ac:dyDescent="0.25">
      <c r="G20" s="14" t="s">
        <v>315</v>
      </c>
      <c r="H20" s="22">
        <v>1350</v>
      </c>
      <c r="I20" s="16">
        <f>GETPIVOTDATA("EA Play Season Pass
Price",$G$16)</f>
        <v>1350</v>
      </c>
    </row>
    <row r="21" spans="3:9" x14ac:dyDescent="0.25">
      <c r="C21" s="12" t="s">
        <v>314</v>
      </c>
      <c r="D21" t="s">
        <v>319</v>
      </c>
    </row>
    <row r="22" spans="3:9" x14ac:dyDescent="0.25">
      <c r="C22" s="14" t="s">
        <v>22</v>
      </c>
      <c r="D22" s="13">
        <v>0</v>
      </c>
    </row>
    <row r="23" spans="3:9" x14ac:dyDescent="0.25">
      <c r="C23" s="14" t="s">
        <v>26</v>
      </c>
      <c r="D23" s="13">
        <v>900</v>
      </c>
    </row>
    <row r="24" spans="3:9" x14ac:dyDescent="0.25">
      <c r="C24" s="14" t="s">
        <v>18</v>
      </c>
      <c r="D24" s="13">
        <v>900</v>
      </c>
    </row>
    <row r="25" spans="3:9" x14ac:dyDescent="0.25">
      <c r="C25" s="14" t="s">
        <v>315</v>
      </c>
      <c r="D25" s="13">
        <v>1800</v>
      </c>
      <c r="F25" s="16">
        <f>GETPIVOTDATA("Minecraft Season Pass Price",$C$21)</f>
        <v>1800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U210"/>
  <sheetViews>
    <sheetView showGridLines="0" showRowColHeaders="0" tabSelected="1" zoomScaleNormal="100" workbookViewId="0">
      <selection activeCell="U13" sqref="U13"/>
    </sheetView>
  </sheetViews>
  <sheetFormatPr defaultRowHeight="15" x14ac:dyDescent="0.25"/>
  <cols>
    <col min="1" max="1" width="27.7109375" style="4" customWidth="1"/>
    <col min="2" max="2" width="3.5703125" customWidth="1"/>
    <col min="12" max="12" width="6.5703125" customWidth="1"/>
  </cols>
  <sheetData>
    <row r="2" spans="1:21" ht="36.75" customHeight="1" thickBot="1" x14ac:dyDescent="0.5">
      <c r="C2" s="21" t="s">
        <v>316</v>
      </c>
      <c r="D2" s="18"/>
      <c r="E2" s="18"/>
      <c r="F2" s="18"/>
      <c r="G2" s="18"/>
      <c r="H2" s="18"/>
      <c r="I2" s="18"/>
      <c r="J2" s="18"/>
      <c r="K2" s="18"/>
      <c r="L2" s="19"/>
      <c r="M2" s="20"/>
      <c r="N2" s="20"/>
      <c r="O2" s="20"/>
      <c r="P2" s="20"/>
    </row>
    <row r="3" spans="1:21" ht="16.5" customHeight="1" thickTop="1" x14ac:dyDescent="0.3"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21" s="7" customFormat="1" ht="8.25" customHeight="1" x14ac:dyDescent="0.25">
      <c r="A4" s="4"/>
    </row>
    <row r="5" spans="1:21" s="7" customFormat="1" ht="7.5" customHeight="1" x14ac:dyDescent="0.25">
      <c r="A5" s="4"/>
    </row>
    <row r="6" spans="1:21" s="7" customFormat="1" ht="10.5" customHeight="1" x14ac:dyDescent="0.25">
      <c r="A6" s="4"/>
      <c r="M6" s="17"/>
    </row>
    <row r="7" spans="1:21" s="7" customFormat="1" ht="9.75" customHeight="1" x14ac:dyDescent="0.25">
      <c r="A7" s="4"/>
    </row>
    <row r="8" spans="1:21" s="7" customFormat="1" ht="33" customHeight="1" x14ac:dyDescent="0.25">
      <c r="A8" s="4"/>
    </row>
    <row r="9" spans="1:21" s="7" customFormat="1" x14ac:dyDescent="0.25">
      <c r="A9" s="4"/>
    </row>
    <row r="10" spans="1:21" s="7" customFormat="1" x14ac:dyDescent="0.25">
      <c r="A10" s="4"/>
    </row>
    <row r="11" spans="1:21" s="7" customFormat="1" x14ac:dyDescent="0.25">
      <c r="A11" s="4"/>
    </row>
    <row r="12" spans="1:21" s="7" customFormat="1" x14ac:dyDescent="0.25">
      <c r="A12" s="4"/>
    </row>
    <row r="13" spans="1:21" s="7" customFormat="1" x14ac:dyDescent="0.25">
      <c r="A13" s="4"/>
      <c r="S13" s="23"/>
      <c r="T13" s="23"/>
      <c r="U13" s="23"/>
    </row>
    <row r="14" spans="1:21" s="7" customFormat="1" x14ac:dyDescent="0.25">
      <c r="A14" s="4"/>
      <c r="S14" s="23"/>
      <c r="T14" s="23"/>
      <c r="U14" s="23"/>
    </row>
    <row r="15" spans="1:21" s="7" customFormat="1" x14ac:dyDescent="0.25">
      <c r="A15" s="4"/>
      <c r="R15" s="23"/>
      <c r="S15" s="23"/>
      <c r="T15" s="23"/>
      <c r="U15" s="23"/>
    </row>
    <row r="16" spans="1:21" s="7" customFormat="1" x14ac:dyDescent="0.25">
      <c r="A16" s="4"/>
      <c r="R16" s="23"/>
      <c r="S16" s="23"/>
      <c r="T16" s="23"/>
      <c r="U16" s="23"/>
    </row>
    <row r="17" spans="1:21" s="7" customFormat="1" x14ac:dyDescent="0.25">
      <c r="A17" s="4"/>
      <c r="R17" s="23"/>
      <c r="S17" s="23"/>
      <c r="T17" s="23"/>
      <c r="U17" s="23"/>
    </row>
    <row r="18" spans="1:21" s="7" customFormat="1" x14ac:dyDescent="0.25">
      <c r="A18" s="4"/>
      <c r="R18" s="23"/>
      <c r="S18" s="23"/>
      <c r="T18" s="23"/>
      <c r="U18" s="23"/>
    </row>
    <row r="19" spans="1:21" s="7" customFormat="1" x14ac:dyDescent="0.25">
      <c r="A19" s="4"/>
      <c r="R19" s="23"/>
      <c r="S19" s="23"/>
      <c r="T19" s="23"/>
      <c r="U19" s="23"/>
    </row>
    <row r="20" spans="1:21" s="7" customFormat="1" x14ac:dyDescent="0.25">
      <c r="A20" s="4"/>
      <c r="R20" s="23"/>
      <c r="S20" s="23"/>
    </row>
    <row r="21" spans="1:21" s="7" customFormat="1" x14ac:dyDescent="0.25">
      <c r="A21" s="4"/>
      <c r="R21" s="23"/>
      <c r="S21" s="23"/>
    </row>
    <row r="22" spans="1:21" s="7" customFormat="1" x14ac:dyDescent="0.25">
      <c r="A22" s="4"/>
      <c r="R22" s="23"/>
      <c r="S22" s="23"/>
    </row>
    <row r="23" spans="1:21" s="7" customFormat="1" x14ac:dyDescent="0.25">
      <c r="A23" s="4"/>
      <c r="R23" s="23"/>
      <c r="S23" s="23"/>
    </row>
    <row r="24" spans="1:21" s="7" customFormat="1" x14ac:dyDescent="0.25">
      <c r="A24" s="4"/>
      <c r="R24" s="23"/>
      <c r="S24" s="23"/>
    </row>
    <row r="25" spans="1:21" s="7" customFormat="1" x14ac:dyDescent="0.25">
      <c r="A25" s="4"/>
      <c r="R25" s="23"/>
      <c r="S25" s="23"/>
    </row>
    <row r="26" spans="1:21" s="7" customFormat="1" x14ac:dyDescent="0.25">
      <c r="A26" s="4"/>
      <c r="R26" s="23"/>
      <c r="S26" s="23"/>
    </row>
    <row r="27" spans="1:21" s="7" customFormat="1" x14ac:dyDescent="0.25">
      <c r="A27" s="4"/>
      <c r="R27" s="23"/>
      <c r="S27" s="23"/>
    </row>
    <row r="28" spans="1:21" s="7" customFormat="1" x14ac:dyDescent="0.25">
      <c r="A28" s="4"/>
      <c r="R28" s="23"/>
      <c r="S28" s="23"/>
    </row>
    <row r="29" spans="1:21" s="7" customFormat="1" x14ac:dyDescent="0.25">
      <c r="A29" s="4"/>
      <c r="R29" s="23"/>
      <c r="S29" s="23"/>
    </row>
    <row r="30" spans="1:21" s="7" customFormat="1" x14ac:dyDescent="0.25">
      <c r="A30" s="4"/>
      <c r="R30" s="23"/>
      <c r="S30" s="23"/>
    </row>
    <row r="31" spans="1:21" s="7" customFormat="1" x14ac:dyDescent="0.25">
      <c r="A31" s="4"/>
      <c r="R31" s="23"/>
      <c r="S31" s="23"/>
    </row>
    <row r="32" spans="1:21" s="7" customFormat="1" x14ac:dyDescent="0.25">
      <c r="A32" s="4"/>
      <c r="R32" s="23"/>
      <c r="S32" s="23"/>
    </row>
    <row r="33" spans="1:19" s="7" customFormat="1" x14ac:dyDescent="0.25">
      <c r="A33" s="4"/>
      <c r="R33" s="23"/>
      <c r="S33" s="23"/>
    </row>
    <row r="34" spans="1:19" s="7" customFormat="1" x14ac:dyDescent="0.25">
      <c r="A34" s="4"/>
      <c r="R34" s="23"/>
      <c r="S34" s="23"/>
    </row>
    <row r="35" spans="1:19" s="7" customFormat="1" x14ac:dyDescent="0.25">
      <c r="A35" s="4"/>
      <c r="R35" s="23"/>
      <c r="S35" s="23"/>
    </row>
    <row r="36" spans="1:19" s="7" customFormat="1" x14ac:dyDescent="0.25">
      <c r="A36" s="4"/>
      <c r="R36" s="23"/>
      <c r="S36" s="23"/>
    </row>
    <row r="37" spans="1:19" s="7" customFormat="1" x14ac:dyDescent="0.25">
      <c r="A37" s="4"/>
      <c r="R37" s="23"/>
      <c r="S37" s="23"/>
    </row>
    <row r="38" spans="1:19" s="7" customFormat="1" x14ac:dyDescent="0.25">
      <c r="A38" s="4"/>
      <c r="R38" s="23"/>
      <c r="S38" s="23"/>
    </row>
    <row r="39" spans="1:19" s="7" customFormat="1" x14ac:dyDescent="0.25">
      <c r="A39" s="4"/>
      <c r="R39" s="23"/>
      <c r="S39" s="23"/>
    </row>
    <row r="40" spans="1:19" s="7" customFormat="1" x14ac:dyDescent="0.25">
      <c r="A40" s="4"/>
      <c r="R40" s="23"/>
      <c r="S40" s="23"/>
    </row>
    <row r="41" spans="1:19" s="7" customFormat="1" x14ac:dyDescent="0.25">
      <c r="A41" s="4"/>
      <c r="R41" s="23"/>
      <c r="S41" s="23"/>
    </row>
    <row r="42" spans="1:19" s="7" customFormat="1" x14ac:dyDescent="0.25">
      <c r="A42" s="4"/>
    </row>
    <row r="43" spans="1:19" s="7" customFormat="1" x14ac:dyDescent="0.25">
      <c r="A43" s="4"/>
    </row>
    <row r="44" spans="1:19" s="7" customFormat="1" x14ac:dyDescent="0.25">
      <c r="A44" s="4"/>
    </row>
    <row r="45" spans="1:19" s="7" customFormat="1" x14ac:dyDescent="0.25">
      <c r="A45" s="4"/>
    </row>
    <row r="46" spans="1:19" s="7" customFormat="1" x14ac:dyDescent="0.25">
      <c r="A46" s="4"/>
    </row>
    <row r="47" spans="1:19" s="7" customFormat="1" x14ac:dyDescent="0.25">
      <c r="A47" s="4"/>
    </row>
    <row r="48" spans="1:19" s="7" customFormat="1" x14ac:dyDescent="0.25">
      <c r="A48" s="4"/>
    </row>
    <row r="49" spans="1:1" s="7" customFormat="1" x14ac:dyDescent="0.25">
      <c r="A49" s="4"/>
    </row>
    <row r="50" spans="1:1" s="7" customFormat="1" x14ac:dyDescent="0.25">
      <c r="A50" s="4"/>
    </row>
    <row r="51" spans="1:1" s="7" customFormat="1" x14ac:dyDescent="0.25">
      <c r="A51" s="4"/>
    </row>
    <row r="52" spans="1:1" s="7" customFormat="1" x14ac:dyDescent="0.25">
      <c r="A52" s="4"/>
    </row>
    <row r="53" spans="1:1" s="7" customFormat="1" x14ac:dyDescent="0.25">
      <c r="A53" s="4"/>
    </row>
    <row r="54" spans="1:1" s="7" customFormat="1" x14ac:dyDescent="0.25">
      <c r="A54" s="4"/>
    </row>
    <row r="55" spans="1:1" s="7" customFormat="1" x14ac:dyDescent="0.25">
      <c r="A55" s="4"/>
    </row>
    <row r="56" spans="1:1" s="7" customFormat="1" x14ac:dyDescent="0.25">
      <c r="A56" s="4"/>
    </row>
    <row r="57" spans="1:1" s="7" customFormat="1" x14ac:dyDescent="0.25">
      <c r="A57" s="4"/>
    </row>
    <row r="58" spans="1:1" s="7" customFormat="1" x14ac:dyDescent="0.25">
      <c r="A58" s="4"/>
    </row>
    <row r="59" spans="1:1" s="7" customFormat="1" x14ac:dyDescent="0.25">
      <c r="A59" s="4"/>
    </row>
    <row r="60" spans="1:1" s="7" customFormat="1" x14ac:dyDescent="0.25">
      <c r="A60" s="4"/>
    </row>
    <row r="61" spans="1:1" s="7" customFormat="1" x14ac:dyDescent="0.25">
      <c r="A61" s="4"/>
    </row>
    <row r="62" spans="1:1" s="7" customFormat="1" x14ac:dyDescent="0.25">
      <c r="A62" s="4"/>
    </row>
    <row r="63" spans="1:1" s="7" customFormat="1" x14ac:dyDescent="0.25">
      <c r="A63" s="4"/>
    </row>
    <row r="64" spans="1:1" s="7" customFormat="1" x14ac:dyDescent="0.25">
      <c r="A64" s="4"/>
    </row>
    <row r="65" spans="1:1" s="7" customFormat="1" x14ac:dyDescent="0.25">
      <c r="A65" s="4"/>
    </row>
    <row r="66" spans="1:1" s="7" customFormat="1" x14ac:dyDescent="0.25">
      <c r="A66" s="4"/>
    </row>
    <row r="67" spans="1:1" s="7" customFormat="1" x14ac:dyDescent="0.25">
      <c r="A67" s="4"/>
    </row>
    <row r="68" spans="1:1" s="7" customFormat="1" x14ac:dyDescent="0.25">
      <c r="A68" s="4"/>
    </row>
    <row r="69" spans="1:1" s="7" customFormat="1" x14ac:dyDescent="0.25">
      <c r="A69" s="4"/>
    </row>
    <row r="70" spans="1:1" s="7" customFormat="1" x14ac:dyDescent="0.25">
      <c r="A70" s="4"/>
    </row>
    <row r="71" spans="1:1" s="7" customFormat="1" x14ac:dyDescent="0.25">
      <c r="A71" s="4"/>
    </row>
    <row r="72" spans="1:1" s="7" customFormat="1" x14ac:dyDescent="0.25">
      <c r="A72" s="4"/>
    </row>
    <row r="73" spans="1:1" s="7" customFormat="1" x14ac:dyDescent="0.25">
      <c r="A73" s="4"/>
    </row>
    <row r="74" spans="1:1" s="7" customFormat="1" x14ac:dyDescent="0.25">
      <c r="A74" s="4"/>
    </row>
    <row r="75" spans="1:1" s="7" customFormat="1" x14ac:dyDescent="0.25">
      <c r="A75" s="4"/>
    </row>
    <row r="76" spans="1:1" s="7" customFormat="1" x14ac:dyDescent="0.25">
      <c r="A76" s="4"/>
    </row>
    <row r="77" spans="1:1" s="7" customFormat="1" x14ac:dyDescent="0.25">
      <c r="A77" s="4"/>
    </row>
    <row r="78" spans="1:1" s="7" customFormat="1" x14ac:dyDescent="0.25">
      <c r="A78" s="4"/>
    </row>
    <row r="79" spans="1:1" s="7" customFormat="1" x14ac:dyDescent="0.25">
      <c r="A79" s="4"/>
    </row>
    <row r="80" spans="1:1" s="7" customFormat="1" x14ac:dyDescent="0.25">
      <c r="A80" s="4"/>
    </row>
    <row r="81" spans="1:1" s="7" customFormat="1" x14ac:dyDescent="0.25">
      <c r="A81" s="4"/>
    </row>
    <row r="82" spans="1:1" s="7" customFormat="1" x14ac:dyDescent="0.25">
      <c r="A82" s="4"/>
    </row>
    <row r="83" spans="1:1" s="7" customFormat="1" x14ac:dyDescent="0.25">
      <c r="A83" s="4"/>
    </row>
    <row r="84" spans="1:1" s="7" customFormat="1" x14ac:dyDescent="0.25">
      <c r="A84" s="4"/>
    </row>
    <row r="85" spans="1:1" s="7" customFormat="1" x14ac:dyDescent="0.25">
      <c r="A85" s="4"/>
    </row>
    <row r="86" spans="1:1" s="7" customFormat="1" x14ac:dyDescent="0.25">
      <c r="A86" s="4"/>
    </row>
    <row r="87" spans="1:1" s="7" customFormat="1" x14ac:dyDescent="0.25">
      <c r="A87" s="4"/>
    </row>
    <row r="88" spans="1:1" s="7" customFormat="1" x14ac:dyDescent="0.25">
      <c r="A88" s="4"/>
    </row>
    <row r="89" spans="1:1" s="7" customFormat="1" x14ac:dyDescent="0.25">
      <c r="A89" s="4"/>
    </row>
    <row r="90" spans="1:1" s="7" customFormat="1" x14ac:dyDescent="0.25">
      <c r="A90" s="4"/>
    </row>
    <row r="91" spans="1:1" s="7" customFormat="1" x14ac:dyDescent="0.25">
      <c r="A91" s="4"/>
    </row>
    <row r="92" spans="1:1" s="7" customFormat="1" x14ac:dyDescent="0.25">
      <c r="A92" s="4"/>
    </row>
    <row r="93" spans="1:1" s="7" customFormat="1" x14ac:dyDescent="0.25">
      <c r="A93" s="4"/>
    </row>
    <row r="94" spans="1:1" s="7" customFormat="1" x14ac:dyDescent="0.25">
      <c r="A94" s="4"/>
    </row>
    <row r="95" spans="1:1" s="7" customFormat="1" x14ac:dyDescent="0.25">
      <c r="A95" s="4"/>
    </row>
    <row r="96" spans="1:1" s="7" customFormat="1" x14ac:dyDescent="0.25">
      <c r="A96" s="4"/>
    </row>
    <row r="97" spans="1:1" s="7" customFormat="1" x14ac:dyDescent="0.25">
      <c r="A97" s="4"/>
    </row>
    <row r="98" spans="1:1" s="7" customFormat="1" x14ac:dyDescent="0.25">
      <c r="A98" s="4"/>
    </row>
    <row r="99" spans="1:1" s="7" customFormat="1" x14ac:dyDescent="0.25">
      <c r="A99" s="4"/>
    </row>
    <row r="100" spans="1:1" s="7" customFormat="1" x14ac:dyDescent="0.25">
      <c r="A100" s="4"/>
    </row>
    <row r="101" spans="1:1" s="7" customFormat="1" x14ac:dyDescent="0.25">
      <c r="A101" s="4"/>
    </row>
    <row r="102" spans="1:1" s="7" customFormat="1" x14ac:dyDescent="0.25">
      <c r="A102" s="4"/>
    </row>
    <row r="103" spans="1:1" s="7" customFormat="1" x14ac:dyDescent="0.25">
      <c r="A103" s="4"/>
    </row>
    <row r="104" spans="1:1" s="7" customFormat="1" x14ac:dyDescent="0.25">
      <c r="A104" s="4"/>
    </row>
    <row r="105" spans="1:1" s="7" customFormat="1" x14ac:dyDescent="0.25">
      <c r="A105" s="4"/>
    </row>
    <row r="106" spans="1:1" s="7" customFormat="1" x14ac:dyDescent="0.25">
      <c r="A106" s="4"/>
    </row>
    <row r="107" spans="1:1" s="7" customFormat="1" x14ac:dyDescent="0.25">
      <c r="A107" s="4"/>
    </row>
    <row r="108" spans="1:1" s="7" customFormat="1" x14ac:dyDescent="0.25">
      <c r="A108" s="4"/>
    </row>
    <row r="109" spans="1:1" s="7" customFormat="1" x14ac:dyDescent="0.25">
      <c r="A109" s="4"/>
    </row>
    <row r="110" spans="1:1" s="7" customFormat="1" x14ac:dyDescent="0.25">
      <c r="A110" s="4"/>
    </row>
    <row r="111" spans="1:1" s="7" customFormat="1" x14ac:dyDescent="0.25">
      <c r="A111" s="4"/>
    </row>
    <row r="112" spans="1:1" s="7" customFormat="1" x14ac:dyDescent="0.25">
      <c r="A112" s="4"/>
    </row>
    <row r="113" spans="1:1" s="7" customFormat="1" x14ac:dyDescent="0.25">
      <c r="A113" s="4"/>
    </row>
    <row r="114" spans="1:1" s="7" customFormat="1" x14ac:dyDescent="0.25">
      <c r="A114" s="4"/>
    </row>
    <row r="115" spans="1:1" s="7" customFormat="1" x14ac:dyDescent="0.25">
      <c r="A115" s="4"/>
    </row>
    <row r="116" spans="1:1" s="7" customFormat="1" x14ac:dyDescent="0.25">
      <c r="A116" s="4"/>
    </row>
    <row r="117" spans="1:1" s="7" customFormat="1" x14ac:dyDescent="0.25">
      <c r="A117" s="4"/>
    </row>
    <row r="118" spans="1:1" s="7" customFormat="1" x14ac:dyDescent="0.25">
      <c r="A118" s="4"/>
    </row>
    <row r="119" spans="1:1" s="7" customFormat="1" x14ac:dyDescent="0.25">
      <c r="A119" s="4"/>
    </row>
    <row r="120" spans="1:1" s="7" customFormat="1" x14ac:dyDescent="0.25">
      <c r="A120" s="4"/>
    </row>
    <row r="121" spans="1:1" s="7" customFormat="1" x14ac:dyDescent="0.25">
      <c r="A121" s="4"/>
    </row>
    <row r="122" spans="1:1" s="7" customFormat="1" x14ac:dyDescent="0.25">
      <c r="A122" s="4"/>
    </row>
    <row r="123" spans="1:1" s="7" customFormat="1" x14ac:dyDescent="0.25">
      <c r="A123" s="4"/>
    </row>
    <row r="124" spans="1:1" s="7" customFormat="1" x14ac:dyDescent="0.25">
      <c r="A124" s="4"/>
    </row>
    <row r="125" spans="1:1" s="7" customFormat="1" x14ac:dyDescent="0.25">
      <c r="A125" s="4"/>
    </row>
    <row r="126" spans="1:1" s="7" customFormat="1" x14ac:dyDescent="0.25">
      <c r="A126" s="4"/>
    </row>
    <row r="127" spans="1:1" s="7" customFormat="1" x14ac:dyDescent="0.25">
      <c r="A127" s="4"/>
    </row>
    <row r="128" spans="1:1" s="7" customFormat="1" x14ac:dyDescent="0.25">
      <c r="A128" s="4"/>
    </row>
    <row r="129" spans="1:1" s="7" customFormat="1" x14ac:dyDescent="0.25">
      <c r="A129" s="4"/>
    </row>
    <row r="130" spans="1:1" s="7" customFormat="1" x14ac:dyDescent="0.25">
      <c r="A130" s="4"/>
    </row>
    <row r="131" spans="1:1" s="7" customFormat="1" x14ac:dyDescent="0.25">
      <c r="A131" s="4"/>
    </row>
    <row r="132" spans="1:1" s="7" customFormat="1" x14ac:dyDescent="0.25">
      <c r="A132" s="4"/>
    </row>
    <row r="133" spans="1:1" s="7" customFormat="1" x14ac:dyDescent="0.25">
      <c r="A133" s="4"/>
    </row>
    <row r="134" spans="1:1" s="7" customFormat="1" x14ac:dyDescent="0.25">
      <c r="A134" s="4"/>
    </row>
    <row r="135" spans="1:1" s="7" customFormat="1" x14ac:dyDescent="0.25">
      <c r="A135" s="4"/>
    </row>
    <row r="136" spans="1:1" s="7" customFormat="1" x14ac:dyDescent="0.25">
      <c r="A136" s="4"/>
    </row>
    <row r="137" spans="1:1" s="7" customFormat="1" x14ac:dyDescent="0.25">
      <c r="A137" s="4"/>
    </row>
    <row r="138" spans="1:1" s="7" customFormat="1" x14ac:dyDescent="0.25">
      <c r="A138" s="4"/>
    </row>
    <row r="139" spans="1:1" s="7" customFormat="1" x14ac:dyDescent="0.25">
      <c r="A139" s="4"/>
    </row>
    <row r="140" spans="1:1" s="7" customFormat="1" x14ac:dyDescent="0.25">
      <c r="A140" s="4"/>
    </row>
    <row r="141" spans="1:1" s="7" customFormat="1" x14ac:dyDescent="0.25">
      <c r="A141" s="4"/>
    </row>
    <row r="142" spans="1:1" s="7" customFormat="1" x14ac:dyDescent="0.25">
      <c r="A142" s="4"/>
    </row>
    <row r="143" spans="1:1" s="7" customFormat="1" x14ac:dyDescent="0.25">
      <c r="A143" s="4"/>
    </row>
    <row r="144" spans="1:1" s="7" customFormat="1" x14ac:dyDescent="0.25">
      <c r="A144" s="4"/>
    </row>
    <row r="145" spans="1:1" s="7" customFormat="1" x14ac:dyDescent="0.25">
      <c r="A145" s="4"/>
    </row>
    <row r="146" spans="1:1" s="7" customFormat="1" x14ac:dyDescent="0.25">
      <c r="A146" s="4"/>
    </row>
    <row r="147" spans="1:1" s="7" customFormat="1" x14ac:dyDescent="0.25">
      <c r="A147" s="4"/>
    </row>
    <row r="148" spans="1:1" s="7" customFormat="1" x14ac:dyDescent="0.25">
      <c r="A148" s="4"/>
    </row>
    <row r="149" spans="1:1" s="7" customFormat="1" x14ac:dyDescent="0.25">
      <c r="A149" s="4"/>
    </row>
    <row r="150" spans="1:1" s="7" customFormat="1" x14ac:dyDescent="0.25">
      <c r="A150" s="4"/>
    </row>
    <row r="151" spans="1:1" s="7" customFormat="1" x14ac:dyDescent="0.25">
      <c r="A151" s="4"/>
    </row>
    <row r="152" spans="1:1" s="7" customFormat="1" x14ac:dyDescent="0.25">
      <c r="A152" s="4"/>
    </row>
    <row r="153" spans="1:1" s="7" customFormat="1" x14ac:dyDescent="0.25">
      <c r="A153" s="4"/>
    </row>
    <row r="154" spans="1:1" s="7" customFormat="1" x14ac:dyDescent="0.25">
      <c r="A154" s="4"/>
    </row>
    <row r="155" spans="1:1" s="7" customFormat="1" x14ac:dyDescent="0.25">
      <c r="A155" s="4"/>
    </row>
    <row r="156" spans="1:1" s="7" customFormat="1" x14ac:dyDescent="0.25">
      <c r="A156" s="4"/>
    </row>
    <row r="157" spans="1:1" s="7" customFormat="1" x14ac:dyDescent="0.25">
      <c r="A157" s="4"/>
    </row>
    <row r="158" spans="1:1" s="7" customFormat="1" x14ac:dyDescent="0.25">
      <c r="A158" s="4"/>
    </row>
    <row r="159" spans="1:1" s="7" customFormat="1" x14ac:dyDescent="0.25">
      <c r="A159" s="4"/>
    </row>
    <row r="160" spans="1:1" s="7" customFormat="1" x14ac:dyDescent="0.25">
      <c r="A160" s="4"/>
    </row>
    <row r="161" spans="1:1" s="7" customFormat="1" x14ac:dyDescent="0.25">
      <c r="A161" s="4"/>
    </row>
    <row r="162" spans="1:1" s="7" customFormat="1" x14ac:dyDescent="0.25">
      <c r="A162" s="4"/>
    </row>
    <row r="163" spans="1:1" s="7" customFormat="1" x14ac:dyDescent="0.25">
      <c r="A163" s="4"/>
    </row>
    <row r="164" spans="1:1" s="7" customFormat="1" x14ac:dyDescent="0.25">
      <c r="A164" s="4"/>
    </row>
    <row r="165" spans="1:1" s="7" customFormat="1" x14ac:dyDescent="0.25">
      <c r="A165" s="4"/>
    </row>
    <row r="166" spans="1:1" s="7" customFormat="1" x14ac:dyDescent="0.25">
      <c r="A166" s="4"/>
    </row>
    <row r="167" spans="1:1" s="7" customFormat="1" x14ac:dyDescent="0.25">
      <c r="A167" s="4"/>
    </row>
    <row r="168" spans="1:1" s="7" customFormat="1" x14ac:dyDescent="0.25">
      <c r="A168" s="4"/>
    </row>
    <row r="169" spans="1:1" s="7" customFormat="1" x14ac:dyDescent="0.25">
      <c r="A169" s="4"/>
    </row>
    <row r="170" spans="1:1" s="7" customFormat="1" x14ac:dyDescent="0.25">
      <c r="A170" s="4"/>
    </row>
    <row r="171" spans="1:1" s="7" customFormat="1" x14ac:dyDescent="0.25">
      <c r="A171" s="4"/>
    </row>
    <row r="172" spans="1:1" s="7" customFormat="1" x14ac:dyDescent="0.25">
      <c r="A172" s="4"/>
    </row>
    <row r="173" spans="1:1" s="7" customFormat="1" x14ac:dyDescent="0.25">
      <c r="A173" s="4"/>
    </row>
    <row r="174" spans="1:1" s="7" customFormat="1" x14ac:dyDescent="0.25">
      <c r="A174" s="4"/>
    </row>
    <row r="175" spans="1:1" s="7" customFormat="1" x14ac:dyDescent="0.25">
      <c r="A175" s="4"/>
    </row>
    <row r="176" spans="1:1" s="7" customFormat="1" x14ac:dyDescent="0.25">
      <c r="A176" s="4"/>
    </row>
    <row r="177" spans="1:1" s="7" customFormat="1" x14ac:dyDescent="0.25">
      <c r="A177" s="4"/>
    </row>
    <row r="178" spans="1:1" s="7" customFormat="1" x14ac:dyDescent="0.25">
      <c r="A178" s="4"/>
    </row>
    <row r="179" spans="1:1" s="7" customFormat="1" x14ac:dyDescent="0.25">
      <c r="A179" s="4"/>
    </row>
    <row r="180" spans="1:1" s="7" customFormat="1" x14ac:dyDescent="0.25">
      <c r="A180" s="4"/>
    </row>
    <row r="181" spans="1:1" s="7" customFormat="1" x14ac:dyDescent="0.25">
      <c r="A181" s="4"/>
    </row>
    <row r="182" spans="1:1" s="7" customFormat="1" x14ac:dyDescent="0.25">
      <c r="A182" s="4"/>
    </row>
    <row r="183" spans="1:1" s="7" customFormat="1" x14ac:dyDescent="0.25">
      <c r="A183" s="4"/>
    </row>
    <row r="184" spans="1:1" s="7" customFormat="1" x14ac:dyDescent="0.25">
      <c r="A184" s="4"/>
    </row>
    <row r="185" spans="1:1" s="7" customFormat="1" x14ac:dyDescent="0.25">
      <c r="A185" s="4"/>
    </row>
    <row r="186" spans="1:1" s="7" customFormat="1" x14ac:dyDescent="0.25">
      <c r="A186" s="4"/>
    </row>
    <row r="187" spans="1:1" s="7" customFormat="1" x14ac:dyDescent="0.25">
      <c r="A187" s="4"/>
    </row>
    <row r="188" spans="1:1" s="7" customFormat="1" x14ac:dyDescent="0.25">
      <c r="A188" s="4"/>
    </row>
    <row r="189" spans="1:1" s="7" customFormat="1" x14ac:dyDescent="0.25">
      <c r="A189" s="4"/>
    </row>
    <row r="190" spans="1:1" s="7" customFormat="1" x14ac:dyDescent="0.25">
      <c r="A190" s="4"/>
    </row>
    <row r="191" spans="1:1" s="7" customFormat="1" x14ac:dyDescent="0.25">
      <c r="A191" s="4"/>
    </row>
    <row r="192" spans="1:1" s="7" customFormat="1" x14ac:dyDescent="0.25">
      <c r="A192" s="4"/>
    </row>
    <row r="193" spans="1:1" s="7" customFormat="1" x14ac:dyDescent="0.25">
      <c r="A193" s="4"/>
    </row>
    <row r="194" spans="1:1" s="7" customFormat="1" x14ac:dyDescent="0.25">
      <c r="A194" s="4"/>
    </row>
    <row r="195" spans="1:1" s="7" customFormat="1" x14ac:dyDescent="0.25">
      <c r="A195" s="4"/>
    </row>
    <row r="196" spans="1:1" s="7" customFormat="1" x14ac:dyDescent="0.25">
      <c r="A196" s="4"/>
    </row>
    <row r="197" spans="1:1" s="7" customFormat="1" x14ac:dyDescent="0.25">
      <c r="A197" s="4"/>
    </row>
    <row r="198" spans="1:1" s="7" customFormat="1" x14ac:dyDescent="0.25">
      <c r="A198" s="4"/>
    </row>
    <row r="199" spans="1:1" s="7" customFormat="1" x14ac:dyDescent="0.25">
      <c r="A199" s="4"/>
    </row>
    <row r="200" spans="1:1" s="7" customFormat="1" x14ac:dyDescent="0.25">
      <c r="A200" s="4"/>
    </row>
    <row r="201" spans="1:1" s="7" customFormat="1" x14ac:dyDescent="0.25">
      <c r="A201" s="4"/>
    </row>
    <row r="202" spans="1:1" s="7" customFormat="1" x14ac:dyDescent="0.25">
      <c r="A202" s="4"/>
    </row>
    <row r="203" spans="1:1" s="7" customFormat="1" x14ac:dyDescent="0.25">
      <c r="A203" s="4"/>
    </row>
    <row r="204" spans="1:1" s="7" customFormat="1" x14ac:dyDescent="0.25">
      <c r="A204" s="4"/>
    </row>
    <row r="205" spans="1:1" s="7" customFormat="1" x14ac:dyDescent="0.25">
      <c r="A205" s="4"/>
    </row>
    <row r="206" spans="1:1" s="7" customFormat="1" x14ac:dyDescent="0.25">
      <c r="A206" s="4"/>
    </row>
    <row r="207" spans="1:1" s="7" customFormat="1" x14ac:dyDescent="0.25">
      <c r="A207" s="4"/>
    </row>
    <row r="208" spans="1:1" s="7" customFormat="1" x14ac:dyDescent="0.25">
      <c r="A208" s="4"/>
    </row>
    <row r="209" spans="1:1" s="7" customFormat="1" x14ac:dyDescent="0.25">
      <c r="A209" s="4"/>
    </row>
    <row r="210" spans="1:1" s="7" customFormat="1" x14ac:dyDescent="0.25">
      <c r="A210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Kayk Salazar</cp:lastModifiedBy>
  <dcterms:created xsi:type="dcterms:W3CDTF">2024-12-19T13:13:10Z</dcterms:created>
  <dcterms:modified xsi:type="dcterms:W3CDTF">2026-06-06T21:16:01Z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