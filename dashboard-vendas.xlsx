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yks\Downloads\"/>
    </mc:Choice>
  </mc:AlternateContent>
  <xr:revisionPtr revIDLastSave="0" documentId="13_ncr:1_{2601B67E-B021-4111-832F-2D63AA8D2449}" xr6:coauthVersionLast="47" xr6:coauthVersionMax="47" xr10:uidLastSave="{00000000-0000-0000-0000-000000000000}"/>
  <workbookProtection workbookAlgorithmName="SHA-512" workbookHashValue="ounkEIMV/XNAKzgkAU02Ep9L1mZFBGhRDBjPX8NWX/Bz0HdehJj41eGEvEpCN6luXW8T2G+ostyv8aqRjmDhHQ==" workbookSaltValue="8n6NjBbb2B0P6gT5yrdvbA==" workbookSpinCount="100000" lockStructure="1"/>
  <bookViews>
    <workbookView xWindow="-120" yWindow="-120" windowWidth="20730" windowHeight="11760" firstSheet="1" activeTab="3" xr2:uid="{28DD5B76-0634-4F87-BE60-8BFA7EF2E23B}"/>
  </bookViews>
  <sheets>
    <sheet name="A̳ssets" sheetId="1" state="hidden" r:id="rId1"/>
    <sheet name="B̳ases" sheetId="2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3" l="1"/>
  <c r="F25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<sst xmlns="http://schemas.openxmlformats.org/spreadsheetml/2006/main" count="2018" uniqueCount="320">
  <si>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</si>
  <si>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</si>
  <si>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</si>
  <si>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</si>
  <si>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</si>
  <si>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</si>
  <si>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</si>
  <si>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</si>
  <si>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</si>
  <si>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</si>
  <si>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</si>
  <si>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</si>
  <si>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</si>
  <si>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</si>
  <si>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</si>
  <si>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</si>
  <si>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</si>
  <si>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</si>
  <si>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</si>
  <si>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</si>
  <si>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</si>
  <si>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</si>
  <si>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</si>
  <si>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</si>
  <si>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</si>
  <si>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</si>
  <si>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</si>
  <si>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</si>
  <si>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</si>
  <si>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</si>
  <si>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</si>
  <si>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</si>
  <si>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</si>
  <si>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</si>
  <si>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</si>
  <si>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</si>
  <si>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</si>
  <si>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</si>
  <si>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</si>
  <si>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</si>
  <si>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</si>
  <si>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</si>
  <si>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</si>
  <si>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</si>
  <si>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</si>
  <si>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</si>
  <si>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</si>
  <si>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</si>
  <si>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</si>
  <si>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</si>
  <si>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</si>
  <si>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</si>
  <si>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</si>
  <si>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</si>
  <si>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</si>
  <si>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</si>
  <si>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</si>
  <si>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</si>
  <si>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</si>
  <si>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</si>
  <si>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</si>
  <si>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</si>
  <si>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</si>
  <si>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</si>
  <si>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</si>
  <si>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</si>
  <si>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</si>
  <si>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</si>
  <si>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</si>
  <si>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</si>
  <si>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</si>
  <si>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</si>
  <si>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</si>
  <si>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</si>
  <si>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</si>
  <si>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</si>
  <si>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</si>
  <si>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</si>
  <si>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</si>
  <si>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</si>
  <si>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</si>
  <si>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</si>
  <si>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</si>
  <si>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</si>
  <si>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</si>
  <si>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</si>
  <si>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</si>
  <si>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</si>
  <si>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</si>
  <si>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</si>
  <si>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</si>
  <si>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</si>
  <si>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</si>
  <si>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</si>
  <si>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</si>
  <si>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</si>
  <si>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</si>
  <si>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</si>
  <si>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</si>
  <si>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</si>
  <si>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</si>
  <si>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</si>
  <si>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</si>
  <si>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</si>
  <si>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</si>
  <si>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</si>
  <si>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</si>
  <si>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</si>
  <si>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</si>
  <si>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</si>
  <si>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</si>
  <si>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</si>
  <si>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</si>
  <si>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</si>
  <si>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</si>
  <si>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</si>
  <si>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</si>
  <si>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</si>
  <si>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</si>
  <si>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</si>
  <si>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</si>
  <si>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</si>
  <si>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</si>
  <si>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</si>
  <si>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</si>
  <si>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</si>
  <si>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</si>
  <si>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</si>
  <si>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</si>
  <si>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</si>
  <si>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</si>
  <si>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</si>
  <si>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</si>
  <si>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</si>
  <si>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</si>
  <si>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</si>
  <si>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</si>
  <si>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</si>
  <si>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</si>
  <si>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</si>
  <si>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</si>
  <si>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</si>
  <si>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</si>
  <si>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</si>
  <si>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</si>
  <si>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</si>
  <si>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</si>
  <si>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</si>
  <si>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</si>
  <si>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</si>
  <si>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</si>
  <si>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</si>
  <si>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</si>
  <si>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</si>
  <si>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</si>
  <si>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</si>
  <si>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</si>
  <si>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</si>
  <si>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</si>
  <si>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</si>
  <si>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</si>
  <si>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</si>
  <si>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</si>
  <si>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</si>
  <si>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</si>
  <si>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</si>
  <si>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</si>
  <si>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</si>
  <si>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</si>
  <si>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</si>
  <si>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</si>
  <si>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</si>
  <si>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</si>
  <si>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</si>
  <si>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</si>
  <si>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</si>
  <si>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</si>
  <si>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</si>
  <si>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</si>
  <si>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</si>
  <si>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</si>
  <si>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</si>
  <si>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</si>
  <si>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</si>
  <si>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</si>
  <si>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</si>
  <si>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</si>
  <si>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</si>
  <si>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</si>
  <si>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</si>
  <si>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</si>
  <si>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</si>
  <si>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</si>
  <si>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</si>
  <si>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</si>
  <si>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</si>
  <si>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</si>
  <si>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</si>
  <si>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</si>
  <si>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</si>
  <si>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</si>
  <si>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</si>
  <si>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</si>
  <si>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</si>
  <si>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</si>
  <si>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</si>
  <si>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</si>
  <si>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</si>
  <si>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</si>
  <si>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</si>
  <si>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</si>
  <si>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</si>
  <si>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</si>
  <si>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</si>
  <si>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</si>
  <si>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</si>
  <si>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</si>
  <si>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</si>
  <si>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</si>
  <si>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</si>
  <si>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</si>
  <si>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</si>
  <si>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</si>
  <si>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</si>
  <si>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</si>
  <si>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</si>
  <si>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</si>
  <si>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</si>
  <si>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</si>
  <si>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</si>
  <si>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</si>
  <si>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</si>
  <si>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</si>
  <si>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</si>
  <si>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</si>
  <si>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</si>
  <si>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</si>
  <si>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</si>
  <si>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</si>
  <si>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</si>
  <si>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</si>
  <si>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</si>
  <si>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</si>
  <si>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</si>
  <si>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</si>
  <si>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</si>
  <si>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</si>
  <si>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</si>
  <si>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</si>
  <si>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</si>
  <si>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</si>
  <si>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</si>
  <si>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</si>
  <si>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</si>
  <si>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</si>
  <si>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</si>
  <si>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</si>
  <si>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</si>
  <si>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</si>
  <si>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</si>
  <si>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</si>
  <si>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</si>
  <si>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</si>
  <si>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</si>
  <si>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</si>
  <si>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</si>
  <si>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</si>
  <si>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</si>
  <si>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</si>
  <si>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</si>
  <si>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</si>
  <si>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</si>
  <si>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</si>
  <si>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</si>
  <si>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</si>
  <si>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</si>
  <si>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</si>
  <si>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</si>
  <si>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</si>
  <si>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</si>
  <si>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</si>
  <si>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</si>
  <si>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</si>
  <si>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</si>
  <si>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</si>
  <si>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</si>
  <si>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</si>
  <si>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</si>
  <si>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</si>
  <si>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</si>
  <si>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</si>
  <si>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</si>
  <si>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</si>
  <si>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</si>
  <si>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</si>
  <si>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</si>
  <si>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</si>
  <si>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</si>
  <si>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</si>
  <si>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</si>
  <si>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</si>
  <si>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</si>
  <si>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</si>
  <si>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</si>
  <si>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</si>
  <si>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</si>
  <si>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</si>
  <si>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</si>
  <si>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</si>
  <si>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</si>
  <si>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</si>
  <si>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</si>
  <si>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</si>
  <si>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</si>
  <si>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</si>
  <si>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</si>
  <si>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XBOX GAME PASS SUBSCRIPTIONS SALES</t>
  </si>
  <si>
    <t>TBL 1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</si>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</sst>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1" fillId="0" borderId="0" xfId="1" applyBorder="1"/>
    <xf numFmtId="44" fontId="0" fillId="0" borderId="0" xfId="2" applyFont="1"/>
    <xf numFmtId="0" fontId="5" fillId="7" borderId="0" xfId="0" applyFont="1" applyFill="1"/>
    <xf numFmtId="0" fontId="4" fillId="0" borderId="2" xfId="1" applyFont="1" applyBorder="1"/>
    <xf numFmtId="0" fontId="1" fillId="0" borderId="2" xfId="1" applyBorder="1"/>
    <xf numFmtId="0" fontId="0" fillId="0" borderId="2" xfId="0" applyBorder="1"/>
    <xf numFmtId="0" fontId="4" fillId="0" borderId="2" xfId="1" applyFont="1" applyBorder="1" applyAlignment="1">
      <alignment horizontal="left" indent="5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rgb="FFF7F8FC"/>
      </font>
      <fill>
        <patternFill patternType="none">
          <bgColor auto="1"/>
        </patternFill>
      </fill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B312EBDA-4372-4C3C-A59A-969D17D2D813}">
      <tableStyleElement type="wholeTable" dxfId="15"/>
      <tableStyleElement type="headerRow" dxfId="14"/>
    </tableStyle>
  </tableStyles>
  <colors>
    <mruColors>
      <color rgb="FF22C55E"/>
      <color rgb="FFC1F0C8"/>
      <color rgb="FFF7F8FC"/>
      <color rgb="FFEDEDED"/>
      <color rgb="FF2AE6B1"/>
      <color rgb="FFE8E6E9"/>
      <color rgb="FF5BF6A8"/>
      <color rgb="FF000000"/>
      <color rgb="FFE0E0E0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6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2065187536243"/>
              <bgColor rgb="FFC1F0C8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rgb="FFC1F0C8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[dashboard-vendas.xlsx]C̳álculos!TBL_ANNUAL_TOTAL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381839272388417E-2"/>
          <c:y val="7.6135282653922484E-2"/>
          <c:w val="0.82347349174863127"/>
          <c:h val="0.754518506604017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C̳álculos!$C$13:$C$15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C̳álculos!$D$13:$D$15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F-4E77-AE75-3D374C1D8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8659695"/>
        <c:axId val="898657295"/>
      </c:barChart>
      <c:catAx>
        <c:axId val="898659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8657295"/>
        <c:crosses val="autoZero"/>
        <c:auto val="1"/>
        <c:lblAlgn val="ctr"/>
        <c:lblOffset val="100"/>
        <c:noMultiLvlLbl val="0"/>
      </c:catAx>
      <c:valAx>
        <c:axId val="89865729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865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1.png"/><Relationship Id="rId10" Type="http://schemas.openxmlformats.org/officeDocument/2006/relationships/image" Target="../media/image10.png"/><Relationship Id="rId4" Type="http://schemas.openxmlformats.org/officeDocument/2006/relationships/image" Target="../media/image5.svg"/><Relationship Id="rId9" Type="http://schemas.openxmlformats.org/officeDocument/2006/relationships/image" Target="../media/image9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7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image" Target="../media/image9.sv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485775</xdr:colOff>
      <xdr:row>27</xdr:row>
      <xdr:rowOff>133349</xdr:rowOff>
    </xdr:from>
    <xdr:to>
      <xdr:col>4</xdr:col>
      <xdr:colOff>206451</xdr:colOff>
      <xdr:row>31</xdr:row>
      <xdr:rowOff>123825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95375" y="542924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247650</xdr:colOff>
      <xdr:row>21</xdr:row>
      <xdr:rowOff>57150</xdr:rowOff>
    </xdr:from>
    <xdr:to>
      <xdr:col>3</xdr:col>
      <xdr:colOff>247650</xdr:colOff>
      <xdr:row>27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863786-37A3-4693-8C01-6538D02D4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210050"/>
          <a:ext cx="1219200" cy="121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42864</xdr:colOff>
      <xdr:row>1</xdr:row>
      <xdr:rowOff>30955</xdr:rowOff>
    </xdr:from>
    <xdr:to>
      <xdr:col>2</xdr:col>
      <xdr:colOff>400051</xdr:colOff>
      <xdr:row>2</xdr:row>
      <xdr:rowOff>171449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E8D70E-7A0D-4E56-8E9C-EB0CBDD402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8" t="17472" r="73185" b="23127"/>
        <a:stretch>
          <a:fillRect/>
        </a:stretch>
      </xdr:blipFill>
      <xdr:spPr>
        <a:xfrm>
          <a:off x="1890714" y="221455"/>
          <a:ext cx="595312" cy="6072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</xdr:row>
      <xdr:rowOff>247650</xdr:rowOff>
    </xdr:from>
    <xdr:to>
      <xdr:col>1</xdr:col>
      <xdr:colOff>7144</xdr:colOff>
      <xdr:row>21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BD92D61-7798-4B69-AF88-8B4239471C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571625"/>
              <a:ext cx="1835944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114301</xdr:colOff>
      <xdr:row>12</xdr:row>
      <xdr:rowOff>57149</xdr:rowOff>
    </xdr:from>
    <xdr:to>
      <xdr:col>17</xdr:col>
      <xdr:colOff>400050</xdr:colOff>
      <xdr:row>26</xdr:row>
      <xdr:rowOff>66675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5DEEFB9B-41FD-1AFE-AF2D-34D3EE23C7DC}"/>
            </a:ext>
          </a:extLst>
        </xdr:cNvPr>
        <xdr:cNvGrpSpPr/>
      </xdr:nvGrpSpPr>
      <xdr:grpSpPr>
        <a:xfrm>
          <a:off x="2200276" y="2562224"/>
          <a:ext cx="9258299" cy="2676526"/>
          <a:chOff x="2066926" y="1562099"/>
          <a:chExt cx="4410074" cy="2676526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D91B1D1F-4D7F-E4D0-7FE4-D9E6B0415B34}"/>
              </a:ext>
            </a:extLst>
          </xdr:cNvPr>
          <xdr:cNvSpPr/>
        </xdr:nvSpPr>
        <xdr:spPr>
          <a:xfrm>
            <a:off x="2066926" y="1562099"/>
            <a:ext cx="3962400" cy="2428875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9B7B8019-5178-4B5D-A2CB-969E41B68C84}"/>
              </a:ext>
            </a:extLst>
          </xdr:cNvPr>
          <xdr:cNvGraphicFramePr>
            <a:graphicFrameLocks/>
          </xdr:cNvGraphicFramePr>
        </xdr:nvGraphicFramePr>
        <xdr:xfrm>
          <a:off x="2242457" y="1776639"/>
          <a:ext cx="4234543" cy="24619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2</xdr:col>
      <xdr:colOff>76200</xdr:colOff>
      <xdr:row>7</xdr:row>
      <xdr:rowOff>19050</xdr:rowOff>
    </xdr:from>
    <xdr:to>
      <xdr:col>8</xdr:col>
      <xdr:colOff>409575</xdr:colOff>
      <xdr:row>12</xdr:row>
      <xdr:rowOff>104775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F2B769F4-62E3-E1EE-B5C4-493EC868F068}"/>
            </a:ext>
          </a:extLst>
        </xdr:cNvPr>
        <xdr:cNvGrpSpPr/>
      </xdr:nvGrpSpPr>
      <xdr:grpSpPr>
        <a:xfrm>
          <a:off x="2162175" y="1343025"/>
          <a:ext cx="3990975" cy="1266825"/>
          <a:chOff x="2181225" y="1362075"/>
          <a:chExt cx="3990975" cy="1266825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CE528342-9A3F-1DA5-C6C6-06E12605A0A2}"/>
              </a:ext>
            </a:extLst>
          </xdr:cNvPr>
          <xdr:cNvSpPr/>
        </xdr:nvSpPr>
        <xdr:spPr>
          <a:xfrm>
            <a:off x="2181225" y="1371600"/>
            <a:ext cx="3990975" cy="1019175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050"/>
          </a:p>
        </xdr:txBody>
      </xdr:sp>
      <xdr:sp macro="" textlink="C̳álculos!I20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79183300-50F1-44F6-856B-757F6832C227}"/>
              </a:ext>
            </a:extLst>
          </xdr:cNvPr>
          <xdr:cNvSpPr/>
        </xdr:nvSpPr>
        <xdr:spPr>
          <a:xfrm>
            <a:off x="3429000" y="1633538"/>
            <a:ext cx="2533649" cy="771525"/>
          </a:xfrm>
          <a:prstGeom prst="roundRect">
            <a:avLst>
              <a:gd name="adj" fmla="val 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D3E010E-3CC9-41AC-A959-1FA5400660DA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D798AEB0-605F-4FA1-AFBC-9233E95FA7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19325" y="1409700"/>
            <a:ext cx="1219200" cy="1219200"/>
          </a:xfrm>
          <a:prstGeom prst="rect">
            <a:avLst/>
          </a:prstGeom>
        </xdr:spPr>
      </xdr:pic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09AB998A-8864-71E2-844D-24D605F380AC}"/>
              </a:ext>
            </a:extLst>
          </xdr:cNvPr>
          <xdr:cNvSpPr/>
        </xdr:nvSpPr>
        <xdr:spPr>
          <a:xfrm>
            <a:off x="2181225" y="1362075"/>
            <a:ext cx="3990975" cy="2762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050" b="1"/>
              <a:t>TOTAL</a:t>
            </a:r>
            <a:r>
              <a:rPr lang="pt-BR" sz="1050" b="1" baseline="0"/>
              <a:t> SUBSCRIPTIONS EA PLAY SEASON PASS</a:t>
            </a:r>
          </a:p>
          <a:p>
            <a:pPr algn="ctr"/>
            <a:endParaRPr lang="pt-BR" sz="1050" b="1"/>
          </a:p>
        </xdr:txBody>
      </xdr:sp>
    </xdr:grpSp>
    <xdr:clientData/>
  </xdr:twoCellAnchor>
  <xdr:twoCellAnchor>
    <xdr:from>
      <xdr:col>9</xdr:col>
      <xdr:colOff>114300</xdr:colOff>
      <xdr:row>7</xdr:row>
      <xdr:rowOff>19050</xdr:rowOff>
    </xdr:from>
    <xdr:to>
      <xdr:col>16</xdr:col>
      <xdr:colOff>19050</xdr:colOff>
      <xdr:row>11</xdr:row>
      <xdr:rowOff>57150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A8AA7A67-79F5-3510-2507-DFC8733A7D54}"/>
            </a:ext>
          </a:extLst>
        </xdr:cNvPr>
        <xdr:cNvGrpSpPr/>
      </xdr:nvGrpSpPr>
      <xdr:grpSpPr>
        <a:xfrm>
          <a:off x="6467475" y="1343025"/>
          <a:ext cx="4000500" cy="1028700"/>
          <a:chOff x="6867525" y="1362075"/>
          <a:chExt cx="4000500" cy="1028700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19F77088-C1FA-4CD7-92F7-5114D76882A1}"/>
              </a:ext>
            </a:extLst>
          </xdr:cNvPr>
          <xdr:cNvGrpSpPr/>
        </xdr:nvGrpSpPr>
        <xdr:grpSpPr>
          <a:xfrm>
            <a:off x="6867525" y="1362075"/>
            <a:ext cx="4000500" cy="1028700"/>
            <a:chOff x="2190750" y="1362075"/>
            <a:chExt cx="4000500" cy="1028700"/>
          </a:xfrm>
        </xdr:grpSpPr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F7D81BBD-2CF6-BE8C-42D9-6BEF34A4586D}"/>
                </a:ext>
              </a:extLst>
            </xdr:cNvPr>
            <xdr:cNvSpPr/>
          </xdr:nvSpPr>
          <xdr:spPr>
            <a:xfrm>
              <a:off x="2200275" y="1371600"/>
              <a:ext cx="3990975" cy="1019175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050"/>
            </a:p>
          </xdr:txBody>
        </xdr:sp>
        <xdr:sp macro="" textlink="C̳álculos!F25">
          <xdr:nvSpPr>
            <xdr:cNvPr id="29" name="Retângulo: Cantos Arredondados 28">
              <a:extLst>
                <a:ext uri="{FF2B5EF4-FFF2-40B4-BE49-F238E27FC236}">
                  <a16:creationId xmlns:a16="http://schemas.microsoft.com/office/drawing/2014/main" id="{974D909E-9BC8-4CCA-2DE1-772A056A0404}"/>
                </a:ext>
              </a:extLst>
            </xdr:cNvPr>
            <xdr:cNvSpPr/>
          </xdr:nvSpPr>
          <xdr:spPr>
            <a:xfrm>
              <a:off x="3581400" y="1609725"/>
              <a:ext cx="2533649" cy="757238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5827653-854C-42FD-85E5-99FDD73D5E23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88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31" name="Retângulo: Cantos Superiores Arredondados 30">
              <a:extLst>
                <a:ext uri="{FF2B5EF4-FFF2-40B4-BE49-F238E27FC236}">
                  <a16:creationId xmlns:a16="http://schemas.microsoft.com/office/drawing/2014/main" id="{7A96DA49-15BF-93BF-EBB7-AF9B81157257}"/>
                </a:ext>
              </a:extLst>
            </xdr:cNvPr>
            <xdr:cNvSpPr/>
          </xdr:nvSpPr>
          <xdr:spPr>
            <a:xfrm>
              <a:off x="2190750" y="1362075"/>
              <a:ext cx="4000500" cy="27622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050" b="1"/>
                <a:t>TOTAL</a:t>
              </a:r>
              <a:r>
                <a:rPr lang="pt-BR" sz="1050" b="1" baseline="0"/>
                <a:t> SUBSCRIPTIONS MINECRAFT PLAY SEASON PASS</a:t>
              </a:r>
            </a:p>
            <a:p>
              <a:pPr algn="ctr"/>
              <a:endParaRPr lang="pt-BR" sz="1050" b="1"/>
            </a:p>
          </xdr:txBody>
        </xdr:sp>
      </xdr:grpSp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92BA7601-4FA2-4D3D-A5C2-8F0F7717F9F9}"/>
              </a:ext>
            </a:extLst>
          </xdr:cNvPr>
          <xdr:cNvGrpSpPr/>
        </xdr:nvGrpSpPr>
        <xdr:grpSpPr>
          <a:xfrm>
            <a:off x="7048500" y="1685925"/>
            <a:ext cx="1076325" cy="609606"/>
            <a:chOff x="3495675" y="5400670"/>
            <a:chExt cx="1549476" cy="752483"/>
          </a:xfrm>
        </xdr:grpSpPr>
        <xdr:pic>
          <xdr:nvPicPr>
            <xdr:cNvPr id="33" name="Imagem 32">
              <a:extLst>
                <a:ext uri="{FF2B5EF4-FFF2-40B4-BE49-F238E27FC236}">
                  <a16:creationId xmlns:a16="http://schemas.microsoft.com/office/drawing/2014/main" id="{237DC4A1-C8B3-580B-BCCA-F98D9E994A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7" y="5400670"/>
              <a:ext cx="555496" cy="609599"/>
            </a:xfrm>
            <a:prstGeom prst="rect">
              <a:avLst/>
            </a:prstGeom>
          </xdr:spPr>
        </xdr:pic>
        <xdr:pic>
          <xdr:nvPicPr>
            <xdr:cNvPr id="34" name="Gráfico 33">
              <a:extLst>
                <a:ext uri="{FF2B5EF4-FFF2-40B4-BE49-F238E27FC236}">
                  <a16:creationId xmlns:a16="http://schemas.microsoft.com/office/drawing/2014/main" id="{672FFAE0-9C24-7655-8AFE-D74CBAA56C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40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19</xdr:col>
      <xdr:colOff>0</xdr:colOff>
      <xdr:row>14</xdr:row>
      <xdr:rowOff>0</xdr:rowOff>
    </xdr:from>
    <xdr:to>
      <xdr:col>20</xdr:col>
      <xdr:colOff>57150</xdr:colOff>
      <xdr:row>17</xdr:row>
      <xdr:rowOff>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DD669432-D230-FE47-6ECA-898B2BA8BAC8}"/>
            </a:ext>
          </a:extLst>
        </xdr:cNvPr>
        <xdr:cNvSpPr txBox="1">
          <a:spLocks noChangeArrowheads="1"/>
        </xdr:cNvSpPr>
      </xdr:nvSpPr>
      <xdr:spPr bwMode="auto">
        <a:xfrm>
          <a:off x="12277725" y="2886075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Aptos Narrow"/>
            </a:rPr>
            <a:t>C1F0C8</a:t>
          </a:r>
        </a:p>
      </xdr:txBody>
    </xdr:sp>
    <xdr:clientData/>
  </xdr:twoCellAnchor>
  <xdr:twoCellAnchor>
    <xdr:from>
      <xdr:col>19</xdr:col>
      <xdr:colOff>0</xdr:colOff>
      <xdr:row>14</xdr:row>
      <xdr:rowOff>0</xdr:rowOff>
    </xdr:from>
    <xdr:to>
      <xdr:col>20</xdr:col>
      <xdr:colOff>57150</xdr:colOff>
      <xdr:row>17</xdr:row>
      <xdr:rowOff>0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99C74E56-94FA-8C2C-A53C-FC2A46CA5EDB}"/>
            </a:ext>
          </a:extLst>
        </xdr:cNvPr>
        <xdr:cNvSpPr txBox="1">
          <a:spLocks noChangeArrowheads="1"/>
        </xdr:cNvSpPr>
      </xdr:nvSpPr>
      <xdr:spPr bwMode="auto">
        <a:xfrm>
          <a:off x="12277725" y="2886075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Aptos Narrow"/>
            </a:rPr>
            <a:t>C1F0C8</a:t>
          </a:r>
        </a:p>
      </xdr:txBody>
    </xdr:sp>
    <xdr:clientData/>
  </xdr:twoCellAnchor>
  <xdr:twoCellAnchor>
    <xdr:from>
      <xdr:col>2</xdr:col>
      <xdr:colOff>114301</xdr:colOff>
      <xdr:row>12</xdr:row>
      <xdr:rowOff>28574</xdr:rowOff>
    </xdr:from>
    <xdr:to>
      <xdr:col>16</xdr:col>
      <xdr:colOff>76200</xdr:colOff>
      <xdr:row>13</xdr:row>
      <xdr:rowOff>114299</xdr:rowOff>
    </xdr:to>
    <xdr:sp macro="" textlink="">
      <xdr:nvSpPr>
        <xdr:cNvPr id="36" name="Retângulo: Cantos Superiores Arredondados 35">
          <a:extLst>
            <a:ext uri="{FF2B5EF4-FFF2-40B4-BE49-F238E27FC236}">
              <a16:creationId xmlns:a16="http://schemas.microsoft.com/office/drawing/2014/main" id="{6AE989BD-20B3-4F31-BE7F-84567E9BA43F}"/>
            </a:ext>
          </a:extLst>
        </xdr:cNvPr>
        <xdr:cNvSpPr/>
      </xdr:nvSpPr>
      <xdr:spPr>
        <a:xfrm>
          <a:off x="2200276" y="2533649"/>
          <a:ext cx="8324849" cy="27622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1"/>
            <a:t>TOTAL</a:t>
          </a:r>
          <a:r>
            <a:rPr lang="pt-BR" sz="1050" b="1" baseline="0"/>
            <a:t> SUBSCRIPTIONS XBOX GAME PASS</a:t>
          </a:r>
        </a:p>
        <a:p>
          <a:pPr algn="ctr"/>
          <a:endParaRPr lang="pt-BR" sz="1050" b="1"/>
        </a:p>
      </xdr:txBody>
    </xdr:sp>
    <xdr:clientData/>
  </xdr:twoCellAnchor>
  <xdr:twoCellAnchor editAs="absolute">
    <xdr:from>
      <xdr:col>0</xdr:col>
      <xdr:colOff>466725</xdr:colOff>
      <xdr:row>1</xdr:row>
      <xdr:rowOff>85725</xdr:rowOff>
    </xdr:from>
    <xdr:to>
      <xdr:col>0</xdr:col>
      <xdr:colOff>1162050</xdr:colOff>
      <xdr:row>4</xdr:row>
      <xdr:rowOff>0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7B6BB154-A9AB-4B68-8C20-CCA97FDD25F9}"/>
            </a:ext>
          </a:extLst>
        </xdr:cNvPr>
        <xdr:cNvSpPr/>
      </xdr:nvSpPr>
      <xdr:spPr>
        <a:xfrm>
          <a:off x="466725" y="27622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5</xdr:row>
      <xdr:rowOff>104776</xdr:rowOff>
    </xdr:from>
    <xdr:to>
      <xdr:col>0</xdr:col>
      <xdr:colOff>1562100</xdr:colOff>
      <xdr:row>7</xdr:row>
      <xdr:rowOff>209551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05E986CC-80C4-2A98-2C41-30381A55A2C2}"/>
            </a:ext>
          </a:extLst>
        </xdr:cNvPr>
        <xdr:cNvSpPr/>
      </xdr:nvSpPr>
      <xdr:spPr>
        <a:xfrm>
          <a:off x="0" y="1171576"/>
          <a:ext cx="1562100" cy="361950"/>
        </a:xfrm>
        <a:prstGeom prst="roundRect">
          <a:avLst>
            <a:gd name="adj" fmla="val 2364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&gt;</a:t>
          </a:r>
          <a:r>
            <a:rPr lang="pt-BR" sz="1100" b="1" baseline="0"/>
            <a:t> WELCOME MANAGER</a:t>
          </a:r>
          <a:r>
            <a:rPr lang="pt-BR" sz="1100" b="1"/>
            <a:t> </a:t>
          </a:r>
        </a:p>
      </xdr:txBody>
    </xdr:sp>
    <xdr:clientData/>
  </xdr:twoCellAnchor>
  <xdr:twoCellAnchor>
    <xdr:from>
      <xdr:col>1</xdr:col>
      <xdr:colOff>76199</xdr:colOff>
      <xdr:row>2</xdr:row>
      <xdr:rowOff>190500</xdr:rowOff>
    </xdr:from>
    <xdr:to>
      <xdr:col>10</xdr:col>
      <xdr:colOff>533399</xdr:colOff>
      <xdr:row>6</xdr:row>
      <xdr:rowOff>9525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789BB63A-7193-4154-8EC3-889597C3454C}"/>
            </a:ext>
          </a:extLst>
        </xdr:cNvPr>
        <xdr:cNvSpPr/>
      </xdr:nvSpPr>
      <xdr:spPr>
        <a:xfrm>
          <a:off x="1924049" y="847725"/>
          <a:ext cx="5572125" cy="361950"/>
        </a:xfrm>
        <a:prstGeom prst="roundRect">
          <a:avLst>
            <a:gd name="adj" fmla="val 2364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0" baseline="0">
              <a:solidFill>
                <a:sysClr val="windowText" lastClr="000000"/>
              </a:solidFill>
            </a:rPr>
            <a:t>Calculation períod</a:t>
          </a:r>
          <a:r>
            <a:rPr lang="pt-BR" sz="1050" b="1" baseline="0">
              <a:solidFill>
                <a:sysClr val="windowText" lastClr="000000"/>
              </a:solidFill>
            </a:rPr>
            <a:t>:  </a:t>
          </a:r>
          <a:r>
            <a:rPr lang="pt-BR" sz="1050" b="0" baseline="0">
              <a:solidFill>
                <a:sysClr val="windowText" lastClr="000000"/>
              </a:solidFill>
            </a:rPr>
            <a:t>01/01/2024 - 31/12/2024 |  Update date 24/12/2024</a:t>
          </a:r>
          <a:r>
            <a:rPr lang="pt-BR" sz="1050" b="1" baseline="0">
              <a:solidFill>
                <a:sysClr val="windowText" lastClr="000000"/>
              </a:solidFill>
            </a:rPr>
            <a:t> </a:t>
          </a:r>
          <a:endParaRPr lang="pt-BR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yk Salazar" refreshedDate="46179.61425150463" createdVersion="8" refreshedVersion="8" minRefreshableVersion="3" recordCount="295" xr:uid="{70B58F72-63CF-416C-9FD3-1B4D1E267C4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502596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4E0BA-AF62-4A47-AF4E-86CBB8828D6A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C12:D15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92119-7290-4609-8F8A-86CE5195F196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C21:D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C8B7C-9396-4DA2-8014-4E371905092F}" name="TBL_EA_SEASON_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G16:H2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5F75CE8-13B1-41FB-ADE7-7F3338C5E38A}" sourceName="Subscription Type">
  <pivotTables>
    <pivotTable tabId="3" name="TBL_ANNUAL_TOTAL"/>
    <pivotTable tabId="3" name="TBL_EA_SEASON_PASS_TOTAL"/>
    <pivotTable tabId="3" name="Tabela dinâmica3"/>
  </pivotTables>
  <data>
    <tabular pivotCacheId="250259698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F06EDBA-BFA8-49EB-BAD2-8D728DEF9136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a:spPr>
      <a:bodyPr vertOverflow="clip" horzOverflow="clip" rtlCol="0" anchor="t"/>
      <a:lstStyle>
        <a:defPPr algn="l">
          <a:defRPr sz="1100" kern="12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D36" sqref="D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1" sqref="C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9:I25"/>
  <sheetViews>
    <sheetView showGridLines="0" topLeftCell="A7" workbookViewId="0">
      <selection activeCell="D36" sqref="D36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6.28515625" customWidth="1"/>
    <col min="6" max="6" width="19.140625" bestFit="1" customWidth="1"/>
    <col min="7" max="7" width="18.42578125" bestFit="1" customWidth="1"/>
    <col min="8" max="8" width="27.7109375" bestFit="1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9" spans="3:8" x14ac:dyDescent="0.25">
      <c r="C9" t="s">
        <v>317</v>
      </c>
    </row>
    <row r="10" spans="3:8" x14ac:dyDescent="0.25">
      <c r="C10" s="12" t="s">
        <v>16</v>
      </c>
      <c r="D10" t="s">
        <v>20</v>
      </c>
    </row>
    <row r="12" spans="3:8" x14ac:dyDescent="0.25">
      <c r="C12" s="12" t="s">
        <v>314</v>
      </c>
      <c r="D12" t="s">
        <v>313</v>
      </c>
    </row>
    <row r="13" spans="3:8" x14ac:dyDescent="0.25">
      <c r="C13" s="14" t="s">
        <v>23</v>
      </c>
      <c r="D13" s="13">
        <v>2824</v>
      </c>
    </row>
    <row r="14" spans="3:8" x14ac:dyDescent="0.25">
      <c r="C14" s="14" t="s">
        <v>19</v>
      </c>
      <c r="D14" s="13">
        <v>747</v>
      </c>
      <c r="G14" s="12" t="s">
        <v>16</v>
      </c>
      <c r="H14" t="s">
        <v>20</v>
      </c>
    </row>
    <row r="15" spans="3:8" x14ac:dyDescent="0.25">
      <c r="C15" s="14" t="s">
        <v>315</v>
      </c>
      <c r="D15" s="13">
        <v>3571</v>
      </c>
    </row>
    <row r="16" spans="3:8" x14ac:dyDescent="0.25">
      <c r="G16" s="12" t="s">
        <v>314</v>
      </c>
      <c r="H16" t="s">
        <v>318</v>
      </c>
    </row>
    <row r="17" spans="3:9" x14ac:dyDescent="0.25">
      <c r="G17" s="14" t="s">
        <v>22</v>
      </c>
      <c r="H17" s="22">
        <v>0</v>
      </c>
    </row>
    <row r="18" spans="3:9" x14ac:dyDescent="0.25">
      <c r="G18" s="14" t="s">
        <v>26</v>
      </c>
      <c r="H18" s="22">
        <v>0</v>
      </c>
    </row>
    <row r="19" spans="3:9" x14ac:dyDescent="0.25">
      <c r="C19" s="12" t="s">
        <v>16</v>
      </c>
      <c r="D19" t="s">
        <v>20</v>
      </c>
      <c r="G19" s="14" t="s">
        <v>18</v>
      </c>
      <c r="H19" s="22">
        <v>1350</v>
      </c>
    </row>
    <row r="20" spans="3:9" x14ac:dyDescent="0.25">
      <c r="G20" s="14" t="s">
        <v>315</v>
      </c>
      <c r="H20" s="22">
        <v>1350</v>
      </c>
      <c r="I20" s="16">
        <f>GETPIVOTDATA("EA Play Season Pass
Price",$G$16)</f>
        <v>1350</v>
      </c>
    </row>
    <row r="21" spans="3:9" x14ac:dyDescent="0.25">
      <c r="C21" s="12" t="s">
        <v>314</v>
      </c>
      <c r="D21" t="s">
        <v>319</v>
      </c>
    </row>
    <row r="22" spans="3:9" x14ac:dyDescent="0.25">
      <c r="C22" s="14" t="s">
        <v>22</v>
      </c>
      <c r="D22" s="13">
        <v>0</v>
      </c>
    </row>
    <row r="23" spans="3:9" x14ac:dyDescent="0.25">
      <c r="C23" s="14" t="s">
        <v>26</v>
      </c>
      <c r="D23" s="13">
        <v>900</v>
      </c>
    </row>
    <row r="24" spans="3:9" x14ac:dyDescent="0.25">
      <c r="C24" s="14" t="s">
        <v>18</v>
      </c>
      <c r="D24" s="13">
        <v>900</v>
      </c>
    </row>
    <row r="25" spans="3:9" x14ac:dyDescent="0.25">
      <c r="C25" s="14" t="s">
        <v>315</v>
      </c>
      <c r="D25" s="13">
        <v>1800</v>
      </c>
      <c r="F25" s="16">
        <f>GETPIVOTDATA("Minecraft Season Pass Price",$C$21)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P210"/>
  <sheetViews>
    <sheetView showGridLines="0" showRowColHeaders="0" tabSelected="1" topLeftCell="A6" zoomScaleNormal="100" workbookViewId="0">
      <selection activeCell="R11" sqref="R11"/>
    </sheetView>
  </sheetViews>
  <sheetFormatPr defaultRowHeight="15" x14ac:dyDescent="0.25"/>
  <cols>
    <col min="1" max="1" width="27.7109375" style="4" customWidth="1"/>
    <col min="2" max="2" width="3.5703125" customWidth="1"/>
    <col min="12" max="12" width="6.5703125" customWidth="1"/>
  </cols>
  <sheetData>
    <row r="2" spans="1:16" ht="36.75" customHeight="1" thickBot="1" x14ac:dyDescent="0.5">
      <c r="C2" s="21" t="s">
        <v>316</v>
      </c>
      <c r="D2" s="18"/>
      <c r="E2" s="18"/>
      <c r="F2" s="18"/>
      <c r="G2" s="18"/>
      <c r="H2" s="18"/>
      <c r="I2" s="18"/>
      <c r="J2" s="18"/>
      <c r="K2" s="18"/>
      <c r="L2" s="19"/>
      <c r="M2" s="20"/>
      <c r="N2" s="20"/>
      <c r="O2" s="20"/>
      <c r="P2" s="20"/>
    </row>
    <row r="3" spans="1:16" ht="16.5" customHeight="1" thickTop="1" x14ac:dyDescent="0.3"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6" s="7" customFormat="1" ht="8.25" customHeight="1" x14ac:dyDescent="0.25">
      <c r="A4" s="4"/>
    </row>
    <row r="5" spans="1:16" s="7" customFormat="1" ht="7.5" customHeight="1" x14ac:dyDescent="0.25">
      <c r="A5" s="4"/>
    </row>
    <row r="6" spans="1:16" s="7" customFormat="1" ht="10.5" customHeight="1" x14ac:dyDescent="0.25">
      <c r="A6" s="4"/>
      <c r="M6" s="17"/>
    </row>
    <row r="7" spans="1:16" s="7" customFormat="1" ht="9.75" customHeight="1" x14ac:dyDescent="0.25">
      <c r="A7" s="4"/>
    </row>
    <row r="8" spans="1:16" s="7" customFormat="1" ht="33" customHeight="1" x14ac:dyDescent="0.25">
      <c r="A8" s="4"/>
    </row>
    <row r="9" spans="1:16" s="7" customFormat="1" x14ac:dyDescent="0.25">
      <c r="A9" s="4"/>
    </row>
    <row r="10" spans="1:16" s="7" customFormat="1" x14ac:dyDescent="0.25">
      <c r="A10" s="4"/>
    </row>
    <row r="11" spans="1:16" s="7" customFormat="1" x14ac:dyDescent="0.25">
      <c r="A11" s="4"/>
    </row>
    <row r="12" spans="1:16" s="7" customFormat="1" x14ac:dyDescent="0.25">
      <c r="A12" s="4"/>
    </row>
    <row r="13" spans="1:16" s="7" customFormat="1" x14ac:dyDescent="0.25">
      <c r="A13" s="4"/>
    </row>
    <row r="14" spans="1:16" s="7" customFormat="1" x14ac:dyDescent="0.25">
      <c r="A14" s="4"/>
    </row>
    <row r="15" spans="1:16" s="7" customFormat="1" x14ac:dyDescent="0.25">
      <c r="A15" s="4"/>
    </row>
    <row r="16" spans="1:16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Kayk Salazar</cp:lastModifiedBy>
  <dcterms:created xsi:type="dcterms:W3CDTF">2024-12-19T13:13:10Z</dcterms:created>
  <dcterms:modified xsi:type="dcterms:W3CDTF">2026-06-06T21:06:12Z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